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202300"/>
  <mc:AlternateContent xmlns:mc="http://schemas.openxmlformats.org/markup-compatibility/2006">
    <mc:Choice Requires="x15">
      <x15ac:absPath xmlns:x15ac="http://schemas.microsoft.com/office/spreadsheetml/2010/11/ac" url="D:\Storage\PROG\githubClone\McTao_lunar_solar_sail\results\"/>
    </mc:Choice>
  </mc:AlternateContent>
  <xr:revisionPtr revIDLastSave="0" documentId="13_ncr:1_{F8083A2C-CFC7-47B4-AE2A-1D55AC2F4268}" xr6:coauthVersionLast="47" xr6:coauthVersionMax="47" xr10:uidLastSave="{00000000-0000-0000-0000-000000000000}"/>
  <bookViews>
    <workbookView xWindow="1695" yWindow="2145" windowWidth="21600" windowHeight="12570" xr2:uid="{807759E1-225D-4C71-96EC-019234880347}"/>
  </bookViews>
  <sheets>
    <sheet name="delta_v" sheetId="2" r:id="rId1"/>
    <sheet name="delta_v_normalisé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8" i="2" l="1"/>
  <c r="AY8" i="2"/>
  <c r="AZ7" i="2"/>
  <c r="AY7" i="2"/>
  <c r="BB13" i="2"/>
  <c r="BA13" i="2"/>
  <c r="AY5" i="2"/>
  <c r="AV1" i="2"/>
  <c r="AV2" i="2"/>
  <c r="AV3" i="2"/>
  <c r="AV4" i="2"/>
  <c r="AV5" i="2"/>
  <c r="AV6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Q1" i="2"/>
  <c r="AR1" i="2"/>
  <c r="AS1" i="2"/>
  <c r="AT1" i="2"/>
  <c r="AU1" i="2"/>
  <c r="AQ2" i="2"/>
  <c r="AR2" i="2"/>
  <c r="AS2" i="2"/>
  <c r="AT2" i="2"/>
  <c r="AU2" i="2"/>
  <c r="AQ3" i="2"/>
  <c r="AR3" i="2"/>
  <c r="AS3" i="2"/>
  <c r="AT3" i="2"/>
  <c r="AU3" i="2"/>
  <c r="AQ4" i="2"/>
  <c r="AR4" i="2"/>
  <c r="AS4" i="2"/>
  <c r="AT4" i="2"/>
  <c r="AU4" i="2"/>
  <c r="AQ5" i="2"/>
  <c r="AR5" i="2"/>
  <c r="AS5" i="2"/>
  <c r="AT5" i="2"/>
  <c r="AU5" i="2"/>
  <c r="AQ6" i="2"/>
  <c r="AR6" i="2"/>
  <c r="AS6" i="2"/>
  <c r="AT6" i="2"/>
  <c r="AU6" i="2"/>
  <c r="AQ7" i="2"/>
  <c r="AR7" i="2"/>
  <c r="AS7" i="2"/>
  <c r="AT7" i="2"/>
  <c r="AU7" i="2"/>
  <c r="AQ8" i="2"/>
  <c r="AR8" i="2"/>
  <c r="AS8" i="2"/>
  <c r="AT8" i="2"/>
  <c r="AU8" i="2"/>
  <c r="AQ9" i="2"/>
  <c r="AR9" i="2"/>
  <c r="AS9" i="2"/>
  <c r="AT9" i="2"/>
  <c r="AU9" i="2"/>
  <c r="AQ10" i="2"/>
  <c r="AR10" i="2"/>
  <c r="AS10" i="2"/>
  <c r="AT10" i="2"/>
  <c r="AU10" i="2"/>
  <c r="AQ11" i="2"/>
  <c r="AR11" i="2"/>
  <c r="AS11" i="2"/>
  <c r="AT11" i="2"/>
  <c r="AU11" i="2"/>
  <c r="AQ12" i="2"/>
  <c r="AR12" i="2"/>
  <c r="AS12" i="2"/>
  <c r="AT12" i="2"/>
  <c r="AU12" i="2"/>
  <c r="AQ13" i="2"/>
  <c r="AR13" i="2"/>
  <c r="AS13" i="2"/>
  <c r="AT13" i="2"/>
  <c r="AU13" i="2"/>
  <c r="AQ14" i="2"/>
  <c r="AR14" i="2"/>
  <c r="AS14" i="2"/>
  <c r="AT14" i="2"/>
  <c r="AU14" i="2"/>
  <c r="AQ15" i="2"/>
  <c r="AR15" i="2"/>
  <c r="AS15" i="2"/>
  <c r="AT15" i="2"/>
  <c r="AU15" i="2"/>
  <c r="AQ16" i="2"/>
  <c r="AR16" i="2"/>
  <c r="AS16" i="2"/>
  <c r="AT16" i="2"/>
  <c r="AU16" i="2"/>
  <c r="AQ17" i="2"/>
  <c r="AR17" i="2"/>
  <c r="AS17" i="2"/>
  <c r="AT17" i="2"/>
  <c r="AU17" i="2"/>
  <c r="AQ18" i="2"/>
  <c r="AR18" i="2"/>
  <c r="AS18" i="2"/>
  <c r="AT18" i="2"/>
  <c r="AU18" i="2"/>
  <c r="AQ19" i="2"/>
  <c r="AR19" i="2"/>
  <c r="AS19" i="2"/>
  <c r="AT19" i="2"/>
  <c r="AU19" i="2"/>
  <c r="AQ20" i="2"/>
  <c r="AR20" i="2"/>
  <c r="AS20" i="2"/>
  <c r="AT20" i="2"/>
  <c r="AU20" i="2"/>
  <c r="AQ21" i="2"/>
  <c r="AR21" i="2"/>
  <c r="AS21" i="2"/>
  <c r="AT21" i="2"/>
  <c r="AU21" i="2"/>
  <c r="AQ22" i="2"/>
  <c r="AR22" i="2"/>
  <c r="AS22" i="2"/>
  <c r="AT22" i="2"/>
  <c r="AU22" i="2"/>
  <c r="AQ23" i="2"/>
  <c r="AR23" i="2"/>
  <c r="AS23" i="2"/>
  <c r="AT23" i="2"/>
  <c r="AU23" i="2"/>
  <c r="AQ24" i="2"/>
  <c r="AR24" i="2"/>
  <c r="AS24" i="2"/>
  <c r="AT24" i="2"/>
  <c r="AU24" i="2"/>
  <c r="AQ25" i="2"/>
  <c r="AR25" i="2"/>
  <c r="AS25" i="2"/>
  <c r="AT25" i="2"/>
  <c r="AU25" i="2"/>
  <c r="AQ26" i="2"/>
  <c r="AR26" i="2"/>
  <c r="AS26" i="2"/>
  <c r="AT26" i="2"/>
  <c r="AU26" i="2"/>
  <c r="AQ27" i="2"/>
  <c r="AR27" i="2"/>
  <c r="AS27" i="2"/>
  <c r="AT27" i="2"/>
  <c r="AU27" i="2"/>
  <c r="AQ28" i="2"/>
  <c r="AR28" i="2"/>
  <c r="AS28" i="2"/>
  <c r="AT28" i="2"/>
  <c r="AU28" i="2"/>
  <c r="AQ29" i="2"/>
  <c r="AR29" i="2"/>
  <c r="AS29" i="2"/>
  <c r="AT29" i="2"/>
  <c r="AU29" i="2"/>
  <c r="AQ30" i="2"/>
  <c r="AR30" i="2"/>
  <c r="AS30" i="2"/>
  <c r="AT30" i="2"/>
  <c r="AU30" i="2"/>
  <c r="AQ31" i="2"/>
  <c r="AR31" i="2"/>
  <c r="AS31" i="2"/>
  <c r="AT31" i="2"/>
  <c r="AU31" i="2"/>
  <c r="AQ32" i="2"/>
  <c r="AR32" i="2"/>
  <c r="AS32" i="2"/>
  <c r="AT32" i="2"/>
  <c r="AU32" i="2"/>
  <c r="AQ33" i="2"/>
  <c r="AR33" i="2"/>
  <c r="AS33" i="2"/>
  <c r="AT33" i="2"/>
  <c r="AU33" i="2"/>
  <c r="AQ34" i="2"/>
  <c r="AR34" i="2"/>
  <c r="AS34" i="2"/>
  <c r="AT34" i="2"/>
  <c r="AU34" i="2"/>
  <c r="AQ35" i="2"/>
  <c r="AR35" i="2"/>
  <c r="AS35" i="2"/>
  <c r="AT35" i="2"/>
  <c r="AU35" i="2"/>
  <c r="AQ36" i="2"/>
  <c r="AR36" i="2"/>
  <c r="AS36" i="2"/>
  <c r="AT36" i="2"/>
  <c r="AU36" i="2"/>
  <c r="AQ37" i="2"/>
  <c r="AR37" i="2"/>
  <c r="AS37" i="2"/>
  <c r="AT37" i="2"/>
  <c r="AU37" i="2"/>
  <c r="AQ38" i="2"/>
  <c r="AR38" i="2"/>
  <c r="AS38" i="2"/>
  <c r="AT38" i="2"/>
  <c r="AU38" i="2"/>
  <c r="AQ39" i="2"/>
  <c r="AR39" i="2"/>
  <c r="AS39" i="2"/>
  <c r="AT39" i="2"/>
  <c r="AU39" i="2"/>
  <c r="AQ40" i="2"/>
  <c r="AR40" i="2"/>
  <c r="AS40" i="2"/>
  <c r="AT40" i="2"/>
  <c r="AU40" i="2"/>
  <c r="AQ41" i="2"/>
  <c r="AR41" i="2"/>
  <c r="AS41" i="2"/>
  <c r="AT41" i="2"/>
  <c r="AU41" i="2"/>
  <c r="AQ42" i="2"/>
  <c r="AR42" i="2"/>
  <c r="AS42" i="2"/>
  <c r="AT42" i="2"/>
  <c r="AU42" i="2"/>
  <c r="AQ43" i="2"/>
  <c r="AR43" i="2"/>
  <c r="AS43" i="2"/>
  <c r="AT43" i="2"/>
  <c r="AU43" i="2"/>
  <c r="AQ44" i="2"/>
  <c r="AR44" i="2"/>
  <c r="AS44" i="2"/>
  <c r="AT44" i="2"/>
  <c r="AU44" i="2"/>
  <c r="AQ45" i="2"/>
  <c r="AR45" i="2"/>
  <c r="AS45" i="2"/>
  <c r="AT45" i="2"/>
  <c r="AU45" i="2"/>
  <c r="AQ46" i="2"/>
  <c r="AR46" i="2"/>
  <c r="AS46" i="2"/>
  <c r="AT46" i="2"/>
  <c r="AU46" i="2"/>
  <c r="AQ47" i="2"/>
  <c r="AR47" i="2"/>
  <c r="AS47" i="2"/>
  <c r="AT47" i="2"/>
  <c r="AU47" i="2"/>
  <c r="AQ48" i="2"/>
  <c r="AR48" i="2"/>
  <c r="AS48" i="2"/>
  <c r="AT48" i="2"/>
  <c r="AU48" i="2"/>
  <c r="AQ49" i="2"/>
  <c r="AR49" i="2"/>
  <c r="AS49" i="2"/>
  <c r="AT49" i="2"/>
  <c r="AU49" i="2"/>
  <c r="AQ50" i="2"/>
  <c r="AR50" i="2"/>
  <c r="AS50" i="2"/>
  <c r="AT50" i="2"/>
  <c r="AU50" i="2"/>
  <c r="AO1" i="2"/>
  <c r="AP1" i="2"/>
  <c r="AO2" i="2"/>
  <c r="AP2" i="2"/>
  <c r="AO3" i="2"/>
  <c r="AP3" i="2"/>
  <c r="AO4" i="2"/>
  <c r="AP4" i="2"/>
  <c r="AO5" i="2"/>
  <c r="AP5" i="2"/>
  <c r="AO6" i="2"/>
  <c r="AP6" i="2"/>
  <c r="AO7" i="2"/>
  <c r="AP7" i="2"/>
  <c r="AO8" i="2"/>
  <c r="AP8" i="2"/>
  <c r="AO9" i="2"/>
  <c r="AP9" i="2"/>
  <c r="AO10" i="2"/>
  <c r="AP10" i="2"/>
  <c r="AO11" i="2"/>
  <c r="AP11" i="2"/>
  <c r="AO12" i="2"/>
  <c r="AP12" i="2"/>
  <c r="AO13" i="2"/>
  <c r="AP13" i="2"/>
  <c r="AO14" i="2"/>
  <c r="AP14" i="2"/>
  <c r="AO15" i="2"/>
  <c r="AP15" i="2"/>
  <c r="AO16" i="2"/>
  <c r="AP16" i="2"/>
  <c r="AO17" i="2"/>
  <c r="AP17" i="2"/>
  <c r="AO18" i="2"/>
  <c r="AP18" i="2"/>
  <c r="AO19" i="2"/>
  <c r="AP19" i="2"/>
  <c r="AO20" i="2"/>
  <c r="AP20" i="2"/>
  <c r="AO21" i="2"/>
  <c r="AP21" i="2"/>
  <c r="AO22" i="2"/>
  <c r="AP22" i="2"/>
  <c r="AO23" i="2"/>
  <c r="AP23" i="2"/>
  <c r="AO24" i="2"/>
  <c r="AP24" i="2"/>
  <c r="AO25" i="2"/>
  <c r="AP25" i="2"/>
  <c r="AO26" i="2"/>
  <c r="AP26" i="2"/>
  <c r="AO27" i="2"/>
  <c r="AP27" i="2"/>
  <c r="AO28" i="2"/>
  <c r="AP28" i="2"/>
  <c r="AO29" i="2"/>
  <c r="AP29" i="2"/>
  <c r="AO30" i="2"/>
  <c r="AP30" i="2"/>
  <c r="AO31" i="2"/>
  <c r="AP31" i="2"/>
  <c r="AO32" i="2"/>
  <c r="AP32" i="2"/>
  <c r="AO33" i="2"/>
  <c r="AP33" i="2"/>
  <c r="AO34" i="2"/>
  <c r="AP34" i="2"/>
  <c r="AO35" i="2"/>
  <c r="AP35" i="2"/>
  <c r="AO36" i="2"/>
  <c r="AP36" i="2"/>
  <c r="AO37" i="2"/>
  <c r="AP37" i="2"/>
  <c r="AO38" i="2"/>
  <c r="AP38" i="2"/>
  <c r="AO39" i="2"/>
  <c r="AP39" i="2"/>
  <c r="AO40" i="2"/>
  <c r="AP40" i="2"/>
  <c r="AO41" i="2"/>
  <c r="AP41" i="2"/>
  <c r="AO42" i="2"/>
  <c r="AP42" i="2"/>
  <c r="AO43" i="2"/>
  <c r="AP43" i="2"/>
  <c r="AO44" i="2"/>
  <c r="AP44" i="2"/>
  <c r="AO45" i="2"/>
  <c r="AP45" i="2"/>
  <c r="AO46" i="2"/>
  <c r="AP46" i="2"/>
  <c r="AO47" i="2"/>
  <c r="AP47" i="2"/>
  <c r="AO48" i="2"/>
  <c r="AP48" i="2"/>
  <c r="AO49" i="2"/>
  <c r="AP49" i="2"/>
  <c r="AO50" i="2"/>
  <c r="AP50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B4" i="2"/>
  <c r="AZ4" i="2" s="1"/>
  <c r="AZ6" i="2" s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A2" i="2"/>
  <c r="A3" i="2"/>
  <c r="AY4" i="2" s="1"/>
  <c r="AY6" i="2" s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1" i="2"/>
  <c r="AY9" i="2" l="1"/>
</calcChain>
</file>

<file path=xl/sharedStrings.xml><?xml version="1.0" encoding="utf-8"?>
<sst xmlns="http://schemas.openxmlformats.org/spreadsheetml/2006/main" count="26" uniqueCount="20">
  <si>
    <t>obs</t>
  </si>
  <si>
    <t>DV per obs</t>
  </si>
  <si>
    <t>observations descendantes</t>
  </si>
  <si>
    <t>thrust max</t>
  </si>
  <si>
    <t>Isp</t>
  </si>
  <si>
    <t>Fuel Consumption</t>
  </si>
  <si>
    <t>DV prevision</t>
  </si>
  <si>
    <t xml:space="preserve">engine spec : </t>
  </si>
  <si>
    <t>N</t>
  </si>
  <si>
    <t>s</t>
  </si>
  <si>
    <t>g/h</t>
  </si>
  <si>
    <t>m/s</t>
  </si>
  <si>
    <t>payload mass</t>
  </si>
  <si>
    <t>Kg</t>
  </si>
  <si>
    <t>fuel mass</t>
  </si>
  <si>
    <t>DV total par periode</t>
  </si>
  <si>
    <t>vitesses en m/s</t>
  </si>
  <si>
    <t>prediction carburant</t>
  </si>
  <si>
    <t xml:space="preserve">               par obs</t>
  </si>
  <si>
    <t>observations ascendantes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</si>
</sst>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Bahnschrift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8" fillId="33" borderId="0" xfId="0" applyFont="1" applyFill="1"/>
    <xf numFmtId="0" fontId="18" fillId="34" borderId="0" xfId="0" applyFont="1" applyFill="1"/>
    <xf numFmtId="2" fontId="18" fillId="34" borderId="0" xfId="0" applyNumberFormat="1" applyFont="1" applyFill="1"/>
    <xf numFmtId="0" fontId="18" fillId="34" borderId="10" xfId="0" applyFont="1" applyFill="1" applyBorder="1"/>
    <xf numFmtId="0" fontId="18" fillId="34" borderId="12" xfId="0" applyFont="1" applyFill="1" applyBorder="1"/>
    <xf numFmtId="0" fontId="18" fillId="34" borderId="11" xfId="0" applyFont="1" applyFill="1" applyBorder="1"/>
    <xf numFmtId="1" fontId="18" fillId="0" borderId="0" xfId="0" applyNumberFormat="1" applyFont="1"/>
    <xf numFmtId="0" fontId="18" fillId="35" borderId="0" xfId="0" applyFont="1" applyFill="1"/>
    <xf numFmtId="1" fontId="18" fillId="35" borderId="0" xfId="0" applyNumberFormat="1" applyFont="1" applyFill="1"/>
    <xf numFmtId="0" fontId="18" fillId="36" borderId="0" xfId="0" applyFont="1" applyFill="1"/>
    <xf numFmtId="1" fontId="18" fillId="37" borderId="0" xfId="0" applyNumberFormat="1" applyFont="1" applyFill="1"/>
    <xf numFmtId="16" fontId="18" fillId="36" borderId="13" xfId="0" applyNumberFormat="1" applyFont="1" applyFill="1" applyBorder="1"/>
    <xf numFmtId="1" fontId="18" fillId="35" borderId="13" xfId="0" applyNumberFormat="1" applyFont="1" applyFill="1" applyBorder="1"/>
    <xf numFmtId="0" fontId="18" fillId="35" borderId="13" xfId="0" applyFont="1" applyFill="1" applyBorder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F7A0-374D-42B3-B201-EEB4081520EB}">
  <dimension ref="A1:BC51"/>
  <sheetViews>
    <sheetView tabSelected="1" topLeftCell="V1" workbookViewId="0">
      <selection activeCell="AT13" sqref="AT13"/>
    </sheetView>
  </sheetViews>
  <sheetFormatPr baseColWidth="10" defaultRowHeight="14.25" x14ac:dyDescent="0.2"/>
  <cols>
    <col min="1" max="48" width="5" style="1" customWidth="1"/>
    <col min="49" max="49" width="11.42578125" style="1"/>
    <col min="50" max="50" width="21.85546875" style="1" customWidth="1"/>
    <col min="51" max="51" width="25.140625" style="1" customWidth="1"/>
    <col min="52" max="52" width="29" style="1" customWidth="1"/>
    <col min="53" max="53" width="18.5703125" style="1" customWidth="1"/>
    <col min="54" max="54" width="14.5703125" style="1" customWidth="1"/>
    <col min="55" max="16384" width="11.42578125" style="1"/>
  </cols>
  <sheetData>
    <row r="1" spans="1:54" x14ac:dyDescent="0.2">
      <c r="A1" s="12">
        <f>delta_v_normalisé!A1*384748000/86400/27.321582</f>
        <v>0</v>
      </c>
      <c r="B1" s="12">
        <f>delta_v_normalisé!B1*384748000/86400/27.321582</f>
        <v>0</v>
      </c>
      <c r="C1" s="12">
        <f>delta_v_normalisé!C1*384748000/86400/27.321582</f>
        <v>0</v>
      </c>
      <c r="D1" s="12">
        <f>delta_v_normalisé!D1*384748000/86400/27.321582</f>
        <v>0</v>
      </c>
      <c r="E1" s="12">
        <f>delta_v_normalisé!E1*384748000/86400/27.321582</f>
        <v>0</v>
      </c>
      <c r="F1" s="12">
        <f>delta_v_normalisé!F1*384748000/86400/27.321582</f>
        <v>0</v>
      </c>
      <c r="G1" s="12">
        <f>delta_v_normalisé!G1*384748000/86400/27.321582</f>
        <v>0</v>
      </c>
      <c r="H1" s="12">
        <f>delta_v_normalisé!H1*384748000/86400/27.321582</f>
        <v>0</v>
      </c>
      <c r="I1" s="12">
        <f>delta_v_normalisé!I1*384748000/86400/27.321582</f>
        <v>0</v>
      </c>
      <c r="J1" s="12">
        <f>delta_v_normalisé!J1*384748000/86400/27.321582</f>
        <v>0</v>
      </c>
      <c r="K1" s="12">
        <f>delta_v_normalisé!K1*384748000/86400/27.321582</f>
        <v>0</v>
      </c>
      <c r="L1" s="12">
        <f>delta_v_normalisé!L1*384748000/86400/27.321582</f>
        <v>0</v>
      </c>
      <c r="M1" s="12">
        <f>delta_v_normalisé!M1*384748000/86400/27.321582</f>
        <v>0</v>
      </c>
      <c r="N1" s="12">
        <f>delta_v_normalisé!N1*384748000/86400/27.321582</f>
        <v>0</v>
      </c>
      <c r="O1" s="12">
        <f>delta_v_normalisé!O1*384748000/86400/27.321582</f>
        <v>0</v>
      </c>
      <c r="P1" s="12">
        <f>delta_v_normalisé!P1*384748000/86400/27.321582</f>
        <v>0</v>
      </c>
      <c r="Q1" s="12">
        <f>delta_v_normalisé!Q1*384748000/86400/27.321582</f>
        <v>0</v>
      </c>
      <c r="R1" s="12">
        <f>delta_v_normalisé!R1*384748000/86400/27.321582</f>
        <v>0</v>
      </c>
      <c r="S1" s="12">
        <f>delta_v_normalisé!S1*384748000/86400/27.321582</f>
        <v>0</v>
      </c>
      <c r="T1" s="12">
        <f>delta_v_normalisé!T1*384748000/86400/27.321582</f>
        <v>0</v>
      </c>
      <c r="U1" s="12">
        <f>delta_v_normalisé!U1*384748000/86400/27.321582</f>
        <v>0</v>
      </c>
      <c r="V1" s="12">
        <f>delta_v_normalisé!V1*384748000/86400/27.321582</f>
        <v>0</v>
      </c>
      <c r="W1" s="12">
        <f>delta_v_normalisé!W1*384748000/86400/27.321582</f>
        <v>0</v>
      </c>
      <c r="X1" s="12">
        <f>delta_v_normalisé!X1*384748000/86400/27.321582</f>
        <v>0</v>
      </c>
      <c r="Y1" s="12">
        <f>delta_v_normalisé!Y1*384748000/86400/27.321582</f>
        <v>0</v>
      </c>
      <c r="Z1" s="12">
        <f>delta_v_normalisé!Z1*384748000/86400/27.321582</f>
        <v>0</v>
      </c>
      <c r="AA1" s="12">
        <f>delta_v_normalisé!AA1*384748000/86400/27.321582</f>
        <v>0</v>
      </c>
      <c r="AB1" s="12">
        <f>delta_v_normalisé!AB1*384748000/86400/27.321582</f>
        <v>0</v>
      </c>
      <c r="AC1" s="12">
        <f>delta_v_normalisé!AC1*384748000/86400/27.321582</f>
        <v>0</v>
      </c>
      <c r="AD1" s="12">
        <f>delta_v_normalisé!AD1*384748000/86400/27.321582</f>
        <v>0</v>
      </c>
      <c r="AE1" s="12">
        <f>delta_v_normalisé!AE1*384748000/86400/27.321582</f>
        <v>0</v>
      </c>
      <c r="AF1" s="12">
        <f>delta_v_normalisé!AF1*384748000/86400/27.321582</f>
        <v>0</v>
      </c>
      <c r="AG1" s="12">
        <f>delta_v_normalisé!AG1*384748000/86400/27.321582</f>
        <v>0</v>
      </c>
      <c r="AH1" s="12">
        <f>delta_v_normalisé!AH1*384748000/86400/27.321582</f>
        <v>0</v>
      </c>
      <c r="AI1" s="12">
        <f>delta_v_normalisé!AI1*384748000/86400/27.321582</f>
        <v>0</v>
      </c>
      <c r="AJ1" s="12">
        <f>delta_v_normalisé!AJ1*384748000/86400/27.321582</f>
        <v>0</v>
      </c>
      <c r="AK1" s="12">
        <f>delta_v_normalisé!AK1*384748000/86400/27.321582</f>
        <v>0</v>
      </c>
      <c r="AL1" s="12">
        <f>delta_v_normalisé!AL1*384748000/86400/27.321582</f>
        <v>0</v>
      </c>
      <c r="AM1" s="12">
        <f>delta_v_normalisé!AM1*384748000/86400/27.321582</f>
        <v>0</v>
      </c>
      <c r="AN1" s="12">
        <f>delta_v_normalisé!AN1*384748000/86400/27.321582</f>
        <v>0</v>
      </c>
      <c r="AO1" s="12">
        <f>delta_v_normalisé!AO1*384748000/86400/27.321582</f>
        <v>0</v>
      </c>
      <c r="AP1" s="12">
        <f>delta_v_normalisé!AP1*384748000/86400/27.321582</f>
        <v>0</v>
      </c>
      <c r="AQ1" s="12">
        <f>delta_v_normalisé!AQ1*384748000/86400/27.321582</f>
        <v>0</v>
      </c>
      <c r="AR1" s="12">
        <f>delta_v_normalisé!AR1*384748000/86400/27.321582</f>
        <v>0</v>
      </c>
      <c r="AS1" s="12">
        <f>delta_v_normalisé!AS1*384748000/86400/27.321582</f>
        <v>0</v>
      </c>
      <c r="AT1" s="12">
        <f>delta_v_normalisé!AT1*384748000/86400/27.321582</f>
        <v>0</v>
      </c>
      <c r="AU1" s="12">
        <f>delta_v_normalisé!AU1*384748000/86400/27.321582</f>
        <v>0</v>
      </c>
      <c r="AV1" s="12">
        <f>delta_v_normalisé!AV1*384748000/86400/27.321582</f>
        <v>0</v>
      </c>
      <c r="AX1" s="1" t="s">
        <v>16</v>
      </c>
    </row>
    <row r="2" spans="1:54" x14ac:dyDescent="0.2">
      <c r="A2" s="12">
        <f>delta_v_normalisé!A2*384748000/86400/27.321582</f>
        <v>0</v>
      </c>
      <c r="B2" s="12">
        <f>delta_v_normalisé!B2*384748000/86400/27.321582</f>
        <v>0</v>
      </c>
      <c r="C2" s="12">
        <f>delta_v_normalisé!C2*384748000/86400/27.321582</f>
        <v>0</v>
      </c>
      <c r="D2" s="12">
        <f>delta_v_normalisé!D2*384748000/86400/27.321582</f>
        <v>0</v>
      </c>
      <c r="E2" s="12">
        <f>delta_v_normalisé!E2*384748000/86400/27.321582</f>
        <v>0</v>
      </c>
      <c r="F2" s="12">
        <f>delta_v_normalisé!F2*384748000/86400/27.321582</f>
        <v>0</v>
      </c>
      <c r="G2" s="12">
        <f>delta_v_normalisé!G2*384748000/86400/27.321582</f>
        <v>0</v>
      </c>
      <c r="H2" s="12">
        <f>delta_v_normalisé!H2*384748000/86400/27.321582</f>
        <v>0</v>
      </c>
      <c r="I2" s="12">
        <f>delta_v_normalisé!I2*384748000/86400/27.321582</f>
        <v>0</v>
      </c>
      <c r="J2" s="12">
        <f>delta_v_normalisé!J2*384748000/86400/27.321582</f>
        <v>0</v>
      </c>
      <c r="K2" s="12">
        <f>delta_v_normalisé!K2*384748000/86400/27.321582</f>
        <v>0</v>
      </c>
      <c r="L2" s="12">
        <f>delta_v_normalisé!L2*384748000/86400/27.321582</f>
        <v>0</v>
      </c>
      <c r="M2" s="12">
        <f>delta_v_normalisé!M2*384748000/86400/27.321582</f>
        <v>0</v>
      </c>
      <c r="N2" s="12">
        <f>delta_v_normalisé!N2*384748000/86400/27.321582</f>
        <v>0</v>
      </c>
      <c r="O2" s="12">
        <f>delta_v_normalisé!O2*384748000/86400/27.321582</f>
        <v>0</v>
      </c>
      <c r="P2" s="12">
        <f>delta_v_normalisé!P2*384748000/86400/27.321582</f>
        <v>0</v>
      </c>
      <c r="Q2" s="12">
        <f>delta_v_normalisé!Q2*384748000/86400/27.321582</f>
        <v>0</v>
      </c>
      <c r="R2" s="12">
        <f>delta_v_normalisé!R2*384748000/86400/27.321582</f>
        <v>0</v>
      </c>
      <c r="S2" s="12">
        <f>delta_v_normalisé!S2*384748000/86400/27.321582</f>
        <v>0</v>
      </c>
      <c r="T2" s="12">
        <f>delta_v_normalisé!T2*384748000/86400/27.321582</f>
        <v>0</v>
      </c>
      <c r="U2" s="12">
        <f>delta_v_normalisé!U2*384748000/86400/27.321582</f>
        <v>0</v>
      </c>
      <c r="V2" s="12">
        <f>delta_v_normalisé!V2*384748000/86400/27.321582</f>
        <v>0</v>
      </c>
      <c r="W2" s="12">
        <f>delta_v_normalisé!W2*384748000/86400/27.321582</f>
        <v>0</v>
      </c>
      <c r="X2" s="12">
        <f>delta_v_normalisé!X2*384748000/86400/27.321582</f>
        <v>0</v>
      </c>
      <c r="Y2" s="12">
        <f>delta_v_normalisé!Y2*384748000/86400/27.321582</f>
        <v>0</v>
      </c>
      <c r="Z2" s="12">
        <f>delta_v_normalisé!Z2*384748000/86400/27.321582</f>
        <v>0</v>
      </c>
      <c r="AA2" s="12">
        <f>delta_v_normalisé!AA2*384748000/86400/27.321582</f>
        <v>0</v>
      </c>
      <c r="AB2" s="12">
        <f>delta_v_normalisé!AB2*384748000/86400/27.321582</f>
        <v>0</v>
      </c>
      <c r="AC2" s="12">
        <f>delta_v_normalisé!AC2*384748000/86400/27.321582</f>
        <v>0</v>
      </c>
      <c r="AD2" s="12">
        <f>delta_v_normalisé!AD2*384748000/86400/27.321582</f>
        <v>0</v>
      </c>
      <c r="AE2" s="12">
        <f>delta_v_normalisé!AE2*384748000/86400/27.321582</f>
        <v>0</v>
      </c>
      <c r="AF2" s="12">
        <f>delta_v_normalisé!AF2*384748000/86400/27.321582</f>
        <v>0</v>
      </c>
      <c r="AG2" s="12">
        <f>delta_v_normalisé!AG2*384748000/86400/27.321582</f>
        <v>0</v>
      </c>
      <c r="AH2" s="12">
        <f>delta_v_normalisé!AH2*384748000/86400/27.321582</f>
        <v>0</v>
      </c>
      <c r="AI2" s="12">
        <f>delta_v_normalisé!AI2*384748000/86400/27.321582</f>
        <v>0</v>
      </c>
      <c r="AJ2" s="12">
        <f>delta_v_normalisé!AJ2*384748000/86400/27.321582</f>
        <v>0</v>
      </c>
      <c r="AK2" s="12">
        <f>delta_v_normalisé!AK2*384748000/86400/27.321582</f>
        <v>0</v>
      </c>
      <c r="AL2" s="12">
        <f>delta_v_normalisé!AL2*384748000/86400/27.321582</f>
        <v>0</v>
      </c>
      <c r="AM2" s="12">
        <f>delta_v_normalisé!AM2*384748000/86400/27.321582</f>
        <v>0</v>
      </c>
      <c r="AN2" s="12">
        <f>delta_v_normalisé!AN2*384748000/86400/27.321582</f>
        <v>0</v>
      </c>
      <c r="AO2" s="12">
        <f>delta_v_normalisé!AO2*384748000/86400/27.321582</f>
        <v>0</v>
      </c>
      <c r="AP2" s="12">
        <f>delta_v_normalisé!AP2*384748000/86400/27.321582</f>
        <v>0</v>
      </c>
      <c r="AQ2" s="12">
        <f>delta_v_normalisé!AQ2*384748000/86400/27.321582</f>
        <v>0</v>
      </c>
      <c r="AR2" s="12">
        <f>delta_v_normalisé!AR2*384748000/86400/27.321582</f>
        <v>0</v>
      </c>
      <c r="AS2" s="12">
        <f>delta_v_normalisé!AS2*384748000/86400/27.321582</f>
        <v>0</v>
      </c>
      <c r="AT2" s="12">
        <f>delta_v_normalisé!AT2*384748000/86400/27.321582</f>
        <v>0</v>
      </c>
      <c r="AU2" s="12">
        <f>delta_v_normalisé!AU2*384748000/86400/27.321582</f>
        <v>0</v>
      </c>
      <c r="AV2" s="12">
        <f>delta_v_normalisé!AV2*384748000/86400/27.321582</f>
        <v>0</v>
      </c>
    </row>
    <row r="3" spans="1:54" x14ac:dyDescent="0.2">
      <c r="A3" s="12">
        <f>delta_v_normalisé!A3*384748000/86400/27.321582</f>
        <v>198.77481016711866</v>
      </c>
      <c r="B3" s="12">
        <f>delta_v_normalisé!B3*384748000/86400/27.321582</f>
        <v>0</v>
      </c>
      <c r="C3" s="12">
        <f>delta_v_normalisé!C3*384748000/86400/27.321582</f>
        <v>0</v>
      </c>
      <c r="D3" s="12">
        <f>delta_v_normalisé!D3*384748000/86400/27.321582</f>
        <v>0</v>
      </c>
      <c r="E3" s="12">
        <f>delta_v_normalisé!E3*384748000/86400/27.321582</f>
        <v>0</v>
      </c>
      <c r="F3" s="12">
        <f>delta_v_normalisé!F3*384748000/86400/27.321582</f>
        <v>0</v>
      </c>
      <c r="G3" s="12">
        <f>delta_v_normalisé!G3*384748000/86400/27.321582</f>
        <v>0</v>
      </c>
      <c r="H3" s="12">
        <f>delta_v_normalisé!H3*384748000/86400/27.321582</f>
        <v>0</v>
      </c>
      <c r="I3" s="12">
        <f>delta_v_normalisé!I3*384748000/86400/27.321582</f>
        <v>0</v>
      </c>
      <c r="J3" s="12">
        <f>delta_v_normalisé!J3*384748000/86400/27.321582</f>
        <v>0</v>
      </c>
      <c r="K3" s="12">
        <f>delta_v_normalisé!K3*384748000/86400/27.321582</f>
        <v>0</v>
      </c>
      <c r="L3" s="12">
        <f>delta_v_normalisé!L3*384748000/86400/27.321582</f>
        <v>0</v>
      </c>
      <c r="M3" s="12">
        <f>delta_v_normalisé!M3*384748000/86400/27.321582</f>
        <v>0</v>
      </c>
      <c r="N3" s="12">
        <f>delta_v_normalisé!N3*384748000/86400/27.321582</f>
        <v>0</v>
      </c>
      <c r="O3" s="12">
        <f>delta_v_normalisé!O3*384748000/86400/27.321582</f>
        <v>0</v>
      </c>
      <c r="P3" s="12">
        <f>delta_v_normalisé!P3*384748000/86400/27.321582</f>
        <v>0</v>
      </c>
      <c r="Q3" s="12">
        <f>delta_v_normalisé!Q3*384748000/86400/27.321582</f>
        <v>0</v>
      </c>
      <c r="R3" s="12">
        <f>delta_v_normalisé!R3*384748000/86400/27.321582</f>
        <v>0</v>
      </c>
      <c r="S3" s="12">
        <f>delta_v_normalisé!S3*384748000/86400/27.321582</f>
        <v>0</v>
      </c>
      <c r="T3" s="12">
        <f>delta_v_normalisé!T3*384748000/86400/27.321582</f>
        <v>0</v>
      </c>
      <c r="U3" s="12">
        <f>delta_v_normalisé!U3*384748000/86400/27.321582</f>
        <v>0</v>
      </c>
      <c r="V3" s="12">
        <f>delta_v_normalisé!V3*384748000/86400/27.321582</f>
        <v>0</v>
      </c>
      <c r="W3" s="12">
        <f>delta_v_normalisé!W3*384748000/86400/27.321582</f>
        <v>0</v>
      </c>
      <c r="X3" s="12">
        <f>delta_v_normalisé!X3*384748000/86400/27.321582</f>
        <v>0</v>
      </c>
      <c r="Y3" s="12">
        <f>delta_v_normalisé!Y3*384748000/86400/27.321582</f>
        <v>0</v>
      </c>
      <c r="Z3" s="12">
        <f>delta_v_normalisé!Z3*384748000/86400/27.321582</f>
        <v>0</v>
      </c>
      <c r="AA3" s="12">
        <f>delta_v_normalisé!AA3*384748000/86400/27.321582</f>
        <v>0</v>
      </c>
      <c r="AB3" s="12">
        <f>delta_v_normalisé!AB3*384748000/86400/27.321582</f>
        <v>0</v>
      </c>
      <c r="AC3" s="12">
        <f>delta_v_normalisé!AC3*384748000/86400/27.321582</f>
        <v>0</v>
      </c>
      <c r="AD3" s="12">
        <f>delta_v_normalisé!AD3*384748000/86400/27.321582</f>
        <v>0</v>
      </c>
      <c r="AE3" s="12">
        <f>delta_v_normalisé!AE3*384748000/86400/27.321582</f>
        <v>0</v>
      </c>
      <c r="AF3" s="12">
        <f>delta_v_normalisé!AF3*384748000/86400/27.321582</f>
        <v>0</v>
      </c>
      <c r="AG3" s="12">
        <f>delta_v_normalisé!AG3*384748000/86400/27.321582</f>
        <v>0</v>
      </c>
      <c r="AH3" s="12">
        <f>delta_v_normalisé!AH3*384748000/86400/27.321582</f>
        <v>0</v>
      </c>
      <c r="AI3" s="12">
        <f>delta_v_normalisé!AI3*384748000/86400/27.321582</f>
        <v>0</v>
      </c>
      <c r="AJ3" s="12">
        <f>delta_v_normalisé!AJ3*384748000/86400/27.321582</f>
        <v>0</v>
      </c>
      <c r="AK3" s="12">
        <f>delta_v_normalisé!AK3*384748000/86400/27.321582</f>
        <v>0</v>
      </c>
      <c r="AL3" s="12">
        <f>delta_v_normalisé!AL3*384748000/86400/27.321582</f>
        <v>0</v>
      </c>
      <c r="AM3" s="12">
        <f>delta_v_normalisé!AM3*384748000/86400/27.321582</f>
        <v>0</v>
      </c>
      <c r="AN3" s="12">
        <f>delta_v_normalisé!AN3*384748000/86400/27.321582</f>
        <v>0</v>
      </c>
      <c r="AO3" s="12">
        <f>delta_v_normalisé!AO3*384748000/86400/27.321582</f>
        <v>0</v>
      </c>
      <c r="AP3" s="12">
        <f>delta_v_normalisé!AP3*384748000/86400/27.321582</f>
        <v>0</v>
      </c>
      <c r="AQ3" s="12">
        <f>delta_v_normalisé!AQ3*384748000/86400/27.321582</f>
        <v>0</v>
      </c>
      <c r="AR3" s="12">
        <f>delta_v_normalisé!AR3*384748000/86400/27.321582</f>
        <v>0</v>
      </c>
      <c r="AS3" s="12">
        <f>delta_v_normalisé!AS3*384748000/86400/27.321582</f>
        <v>0</v>
      </c>
      <c r="AT3" s="12">
        <f>delta_v_normalisé!AT3*384748000/86400/27.321582</f>
        <v>0</v>
      </c>
      <c r="AU3" s="12">
        <f>delta_v_normalisé!AU3*384748000/86400/27.321582</f>
        <v>0</v>
      </c>
      <c r="AV3" s="12">
        <f>delta_v_normalisé!AV3*384748000/86400/27.321582</f>
        <v>0</v>
      </c>
      <c r="AX3" s="11"/>
      <c r="AY3" s="11" t="s">
        <v>19</v>
      </c>
      <c r="AZ3" s="11" t="s">
        <v>2</v>
      </c>
      <c r="BA3" s="13"/>
    </row>
    <row r="4" spans="1:54" x14ac:dyDescent="0.2">
      <c r="A4" s="12">
        <f>delta_v_normalisé!A4*384748000/86400/27.321582</f>
        <v>0</v>
      </c>
      <c r="B4" s="12">
        <f>delta_v_normalisé!B4*384748000/86400/27.321582</f>
        <v>218.3092494803455</v>
      </c>
      <c r="C4" s="12">
        <f>delta_v_normalisé!C4*384748000/86400/27.321582</f>
        <v>0</v>
      </c>
      <c r="D4" s="12">
        <f>delta_v_normalisé!D4*384748000/86400/27.321582</f>
        <v>0</v>
      </c>
      <c r="E4" s="12">
        <f>delta_v_normalisé!E4*384748000/86400/27.321582</f>
        <v>0</v>
      </c>
      <c r="F4" s="12">
        <f>delta_v_normalisé!F4*384748000/86400/27.321582</f>
        <v>0</v>
      </c>
      <c r="G4" s="12">
        <f>delta_v_normalisé!G4*384748000/86400/27.321582</f>
        <v>0</v>
      </c>
      <c r="H4" s="12">
        <f>delta_v_normalisé!H4*384748000/86400/27.321582</f>
        <v>0</v>
      </c>
      <c r="I4" s="12">
        <f>delta_v_normalisé!I4*384748000/86400/27.321582</f>
        <v>0</v>
      </c>
      <c r="J4" s="12">
        <f>delta_v_normalisé!J4*384748000/86400/27.321582</f>
        <v>0</v>
      </c>
      <c r="K4" s="12">
        <f>delta_v_normalisé!K4*384748000/86400/27.321582</f>
        <v>0</v>
      </c>
      <c r="L4" s="12">
        <f>delta_v_normalisé!L4*384748000/86400/27.321582</f>
        <v>0</v>
      </c>
      <c r="M4" s="12">
        <f>delta_v_normalisé!M4*384748000/86400/27.321582</f>
        <v>0</v>
      </c>
      <c r="N4" s="12">
        <f>delta_v_normalisé!N4*384748000/86400/27.321582</f>
        <v>0</v>
      </c>
      <c r="O4" s="12">
        <f>delta_v_normalisé!O4*384748000/86400/27.321582</f>
        <v>0</v>
      </c>
      <c r="P4" s="12">
        <f>delta_v_normalisé!P4*384748000/86400/27.321582</f>
        <v>0</v>
      </c>
      <c r="Q4" s="12">
        <f>delta_v_normalisé!Q4*384748000/86400/27.321582</f>
        <v>0</v>
      </c>
      <c r="R4" s="12">
        <f>delta_v_normalisé!R4*384748000/86400/27.321582</f>
        <v>0</v>
      </c>
      <c r="S4" s="12">
        <f>delta_v_normalisé!S4*384748000/86400/27.321582</f>
        <v>0</v>
      </c>
      <c r="T4" s="12">
        <f>delta_v_normalisé!T4*384748000/86400/27.321582</f>
        <v>0</v>
      </c>
      <c r="U4" s="12">
        <f>delta_v_normalisé!U4*384748000/86400/27.321582</f>
        <v>0</v>
      </c>
      <c r="V4" s="12">
        <f>delta_v_normalisé!V4*384748000/86400/27.321582</f>
        <v>0</v>
      </c>
      <c r="W4" s="12">
        <f>delta_v_normalisé!W4*384748000/86400/27.321582</f>
        <v>0</v>
      </c>
      <c r="X4" s="12">
        <f>delta_v_normalisé!X4*384748000/86400/27.321582</f>
        <v>0</v>
      </c>
      <c r="Y4" s="12">
        <f>delta_v_normalisé!Y4*384748000/86400/27.321582</f>
        <v>0</v>
      </c>
      <c r="Z4" s="12">
        <f>delta_v_normalisé!Z4*384748000/86400/27.321582</f>
        <v>0</v>
      </c>
      <c r="AA4" s="12">
        <f>delta_v_normalisé!AA4*384748000/86400/27.321582</f>
        <v>0</v>
      </c>
      <c r="AB4" s="12">
        <f>delta_v_normalisé!AB4*384748000/86400/27.321582</f>
        <v>0</v>
      </c>
      <c r="AC4" s="12">
        <f>delta_v_normalisé!AC4*384748000/86400/27.321582</f>
        <v>0</v>
      </c>
      <c r="AD4" s="12">
        <f>delta_v_normalisé!AD4*384748000/86400/27.321582</f>
        <v>0</v>
      </c>
      <c r="AE4" s="12">
        <f>delta_v_normalisé!AE4*384748000/86400/27.321582</f>
        <v>0</v>
      </c>
      <c r="AF4" s="12">
        <f>delta_v_normalisé!AF4*384748000/86400/27.321582</f>
        <v>0</v>
      </c>
      <c r="AG4" s="12">
        <f>delta_v_normalisé!AG4*384748000/86400/27.321582</f>
        <v>0</v>
      </c>
      <c r="AH4" s="12">
        <f>delta_v_normalisé!AH4*384748000/86400/27.321582</f>
        <v>0</v>
      </c>
      <c r="AI4" s="12">
        <f>delta_v_normalisé!AI4*384748000/86400/27.321582</f>
        <v>0</v>
      </c>
      <c r="AJ4" s="12">
        <f>delta_v_normalisé!AJ4*384748000/86400/27.321582</f>
        <v>0</v>
      </c>
      <c r="AK4" s="12">
        <f>delta_v_normalisé!AK4*384748000/86400/27.321582</f>
        <v>0</v>
      </c>
      <c r="AL4" s="12">
        <f>delta_v_normalisé!AL4*384748000/86400/27.321582</f>
        <v>0</v>
      </c>
      <c r="AM4" s="12">
        <f>delta_v_normalisé!AM4*384748000/86400/27.321582</f>
        <v>0</v>
      </c>
      <c r="AN4" s="12">
        <f>delta_v_normalisé!AN4*384748000/86400/27.321582</f>
        <v>0</v>
      </c>
      <c r="AO4" s="12">
        <f>delta_v_normalisé!AO4*384748000/86400/27.321582</f>
        <v>0</v>
      </c>
      <c r="AP4" s="12">
        <f>delta_v_normalisé!AP4*384748000/86400/27.321582</f>
        <v>0</v>
      </c>
      <c r="AQ4" s="12">
        <f>delta_v_normalisé!AQ4*384748000/86400/27.321582</f>
        <v>0</v>
      </c>
      <c r="AR4" s="12">
        <f>delta_v_normalisé!AR4*384748000/86400/27.321582</f>
        <v>0</v>
      </c>
      <c r="AS4" s="12">
        <f>delta_v_normalisé!AS4*384748000/86400/27.321582</f>
        <v>0</v>
      </c>
      <c r="AT4" s="12">
        <f>delta_v_normalisé!AT4*384748000/86400/27.321582</f>
        <v>0</v>
      </c>
      <c r="AU4" s="12">
        <f>delta_v_normalisé!AU4*384748000/86400/27.321582</f>
        <v>0</v>
      </c>
      <c r="AV4" s="12">
        <f>delta_v_normalisé!AV4*384748000/86400/27.321582</f>
        <v>0</v>
      </c>
      <c r="AX4" s="11"/>
      <c r="AY4" s="10">
        <f>A3+C5+E7+G9+I11+K13+M15+O17+Q19+S21+U23+W25+Y27+AA29+AC31+AE33+AG35+AI37+AK39+AM41+AO43+AQ45+AS47+AU49</f>
        <v>6032.7607132072899</v>
      </c>
      <c r="AZ4" s="10">
        <f>B4+D6+F8+H10+J12+L14+N16+P18+R20+T22+V24+X26+Z28+AB30+AD32+AF34+AH36+AJ38+AL40+AN42++AP44+AR46+AT48+AV50</f>
        <v>7675.3566274434752</v>
      </c>
      <c r="BA4" s="14" t="s">
        <v>11</v>
      </c>
      <c r="BB4" s="8"/>
    </row>
    <row r="5" spans="1:54" x14ac:dyDescent="0.2">
      <c r="A5" s="12">
        <f>delta_v_normalisé!A5*384748000/86400/27.321582</f>
        <v>0</v>
      </c>
      <c r="B5" s="12">
        <f>delta_v_normalisé!B5*384748000/86400/27.321582</f>
        <v>0</v>
      </c>
      <c r="C5" s="12">
        <f>delta_v_normalisé!C5*384748000/86400/27.321582</f>
        <v>158.01907075263375</v>
      </c>
      <c r="D5" s="12">
        <f>delta_v_normalisé!D5*384748000/86400/27.321582</f>
        <v>0</v>
      </c>
      <c r="E5" s="12">
        <f>delta_v_normalisé!E5*384748000/86400/27.321582</f>
        <v>0</v>
      </c>
      <c r="F5" s="12">
        <f>delta_v_normalisé!F5*384748000/86400/27.321582</f>
        <v>0</v>
      </c>
      <c r="G5" s="12">
        <f>delta_v_normalisé!G5*384748000/86400/27.321582</f>
        <v>0</v>
      </c>
      <c r="H5" s="12">
        <f>delta_v_normalisé!H5*384748000/86400/27.321582</f>
        <v>0</v>
      </c>
      <c r="I5" s="12">
        <f>delta_v_normalisé!I5*384748000/86400/27.321582</f>
        <v>0</v>
      </c>
      <c r="J5" s="12">
        <f>delta_v_normalisé!J5*384748000/86400/27.321582</f>
        <v>0</v>
      </c>
      <c r="K5" s="12">
        <f>delta_v_normalisé!K5*384748000/86400/27.321582</f>
        <v>0</v>
      </c>
      <c r="L5" s="12">
        <f>delta_v_normalisé!L5*384748000/86400/27.321582</f>
        <v>0</v>
      </c>
      <c r="M5" s="12">
        <f>delta_v_normalisé!M5*384748000/86400/27.321582</f>
        <v>0</v>
      </c>
      <c r="N5" s="12">
        <f>delta_v_normalisé!N5*384748000/86400/27.321582</f>
        <v>0</v>
      </c>
      <c r="O5" s="12">
        <f>delta_v_normalisé!O5*384748000/86400/27.321582</f>
        <v>0</v>
      </c>
      <c r="P5" s="12">
        <f>delta_v_normalisé!P5*384748000/86400/27.321582</f>
        <v>0</v>
      </c>
      <c r="Q5" s="12">
        <f>delta_v_normalisé!Q5*384748000/86400/27.321582</f>
        <v>0</v>
      </c>
      <c r="R5" s="12">
        <f>delta_v_normalisé!R5*384748000/86400/27.321582</f>
        <v>0</v>
      </c>
      <c r="S5" s="12">
        <f>delta_v_normalisé!S5*384748000/86400/27.321582</f>
        <v>0</v>
      </c>
      <c r="T5" s="12">
        <f>delta_v_normalisé!T5*384748000/86400/27.321582</f>
        <v>0</v>
      </c>
      <c r="U5" s="12">
        <f>delta_v_normalisé!U5*384748000/86400/27.321582</f>
        <v>0</v>
      </c>
      <c r="V5" s="12">
        <f>delta_v_normalisé!V5*384748000/86400/27.321582</f>
        <v>0</v>
      </c>
      <c r="W5" s="12">
        <f>delta_v_normalisé!W5*384748000/86400/27.321582</f>
        <v>0</v>
      </c>
      <c r="X5" s="12">
        <f>delta_v_normalisé!X5*384748000/86400/27.321582</f>
        <v>0</v>
      </c>
      <c r="Y5" s="12">
        <f>delta_v_normalisé!Y5*384748000/86400/27.321582</f>
        <v>0</v>
      </c>
      <c r="Z5" s="12">
        <f>delta_v_normalisé!Z5*384748000/86400/27.321582</f>
        <v>0</v>
      </c>
      <c r="AA5" s="12">
        <f>delta_v_normalisé!AA5*384748000/86400/27.321582</f>
        <v>0</v>
      </c>
      <c r="AB5" s="12">
        <f>delta_v_normalisé!AB5*384748000/86400/27.321582</f>
        <v>0</v>
      </c>
      <c r="AC5" s="12">
        <f>delta_v_normalisé!AC5*384748000/86400/27.321582</f>
        <v>0</v>
      </c>
      <c r="AD5" s="12">
        <f>delta_v_normalisé!AD5*384748000/86400/27.321582</f>
        <v>0</v>
      </c>
      <c r="AE5" s="12">
        <f>delta_v_normalisé!AE5*384748000/86400/27.321582</f>
        <v>0</v>
      </c>
      <c r="AF5" s="12">
        <f>delta_v_normalisé!AF5*384748000/86400/27.321582</f>
        <v>0</v>
      </c>
      <c r="AG5" s="12">
        <f>delta_v_normalisé!AG5*384748000/86400/27.321582</f>
        <v>0</v>
      </c>
      <c r="AH5" s="12">
        <f>delta_v_normalisé!AH5*384748000/86400/27.321582</f>
        <v>0</v>
      </c>
      <c r="AI5" s="12">
        <f>delta_v_normalisé!AI5*384748000/86400/27.321582</f>
        <v>0</v>
      </c>
      <c r="AJ5" s="12">
        <f>delta_v_normalisé!AJ5*384748000/86400/27.321582</f>
        <v>0</v>
      </c>
      <c r="AK5" s="12">
        <f>delta_v_normalisé!AK5*384748000/86400/27.321582</f>
        <v>0</v>
      </c>
      <c r="AL5" s="12">
        <f>delta_v_normalisé!AL5*384748000/86400/27.321582</f>
        <v>0</v>
      </c>
      <c r="AM5" s="12">
        <f>delta_v_normalisé!AM5*384748000/86400/27.321582</f>
        <v>0</v>
      </c>
      <c r="AN5" s="12">
        <f>delta_v_normalisé!AN5*384748000/86400/27.321582</f>
        <v>0</v>
      </c>
      <c r="AO5" s="12">
        <f>delta_v_normalisé!AO5*384748000/86400/27.321582</f>
        <v>0</v>
      </c>
      <c r="AP5" s="12">
        <f>delta_v_normalisé!AP5*384748000/86400/27.321582</f>
        <v>0</v>
      </c>
      <c r="AQ5" s="12">
        <f>delta_v_normalisé!AQ5*384748000/86400/27.321582</f>
        <v>0</v>
      </c>
      <c r="AR5" s="12">
        <f>delta_v_normalisé!AR5*384748000/86400/27.321582</f>
        <v>0</v>
      </c>
      <c r="AS5" s="12">
        <f>delta_v_normalisé!AS5*384748000/86400/27.321582</f>
        <v>0</v>
      </c>
      <c r="AT5" s="12">
        <f>delta_v_normalisé!AT5*384748000/86400/27.321582</f>
        <v>0</v>
      </c>
      <c r="AU5" s="12">
        <f>delta_v_normalisé!AU5*384748000/86400/27.321582</f>
        <v>0</v>
      </c>
      <c r="AV5" s="12">
        <f>delta_v_normalisé!AV5*384748000/86400/27.321582</f>
        <v>0</v>
      </c>
      <c r="AX5" s="11" t="s">
        <v>0</v>
      </c>
      <c r="AY5" s="10">
        <f>24</f>
        <v>24</v>
      </c>
      <c r="AZ5" s="9">
        <v>24</v>
      </c>
      <c r="BA5" s="15"/>
    </row>
    <row r="6" spans="1:54" x14ac:dyDescent="0.2">
      <c r="A6" s="12">
        <f>delta_v_normalisé!A6*384748000/86400/27.321582</f>
        <v>0</v>
      </c>
      <c r="B6" s="12">
        <f>delta_v_normalisé!B6*384748000/86400/27.321582</f>
        <v>0</v>
      </c>
      <c r="C6" s="12">
        <f>delta_v_normalisé!C6*384748000/86400/27.321582</f>
        <v>0</v>
      </c>
      <c r="D6" s="12">
        <f>delta_v_normalisé!D6*384748000/86400/27.321582</f>
        <v>162.3309984417215</v>
      </c>
      <c r="E6" s="12">
        <f>delta_v_normalisé!E6*384748000/86400/27.321582</f>
        <v>0</v>
      </c>
      <c r="F6" s="12">
        <f>delta_v_normalisé!F6*384748000/86400/27.321582</f>
        <v>0</v>
      </c>
      <c r="G6" s="12">
        <f>delta_v_normalisé!G6*384748000/86400/27.321582</f>
        <v>0</v>
      </c>
      <c r="H6" s="12">
        <f>delta_v_normalisé!H6*384748000/86400/27.321582</f>
        <v>0</v>
      </c>
      <c r="I6" s="12">
        <f>delta_v_normalisé!I6*384748000/86400/27.321582</f>
        <v>0</v>
      </c>
      <c r="J6" s="12">
        <f>delta_v_normalisé!J6*384748000/86400/27.321582</f>
        <v>0</v>
      </c>
      <c r="K6" s="12">
        <f>delta_v_normalisé!K6*384748000/86400/27.321582</f>
        <v>0</v>
      </c>
      <c r="L6" s="12">
        <f>delta_v_normalisé!L6*384748000/86400/27.321582</f>
        <v>0</v>
      </c>
      <c r="M6" s="12">
        <f>delta_v_normalisé!M6*384748000/86400/27.321582</f>
        <v>0</v>
      </c>
      <c r="N6" s="12">
        <f>delta_v_normalisé!N6*384748000/86400/27.321582</f>
        <v>0</v>
      </c>
      <c r="O6" s="12">
        <f>delta_v_normalisé!O6*384748000/86400/27.321582</f>
        <v>0</v>
      </c>
      <c r="P6" s="12">
        <f>delta_v_normalisé!P6*384748000/86400/27.321582</f>
        <v>0</v>
      </c>
      <c r="Q6" s="12">
        <f>delta_v_normalisé!Q6*384748000/86400/27.321582</f>
        <v>0</v>
      </c>
      <c r="R6" s="12">
        <f>delta_v_normalisé!R6*384748000/86400/27.321582</f>
        <v>0</v>
      </c>
      <c r="S6" s="12">
        <f>delta_v_normalisé!S6*384748000/86400/27.321582</f>
        <v>0</v>
      </c>
      <c r="T6" s="12">
        <f>delta_v_normalisé!T6*384748000/86400/27.321582</f>
        <v>0</v>
      </c>
      <c r="U6" s="12">
        <f>delta_v_normalisé!U6*384748000/86400/27.321582</f>
        <v>0</v>
      </c>
      <c r="V6" s="12">
        <f>delta_v_normalisé!V6*384748000/86400/27.321582</f>
        <v>0</v>
      </c>
      <c r="W6" s="12">
        <f>delta_v_normalisé!W6*384748000/86400/27.321582</f>
        <v>0</v>
      </c>
      <c r="X6" s="12">
        <f>delta_v_normalisé!X6*384748000/86400/27.321582</f>
        <v>0</v>
      </c>
      <c r="Y6" s="12">
        <f>delta_v_normalisé!Y6*384748000/86400/27.321582</f>
        <v>0</v>
      </c>
      <c r="Z6" s="12">
        <f>delta_v_normalisé!Z6*384748000/86400/27.321582</f>
        <v>0</v>
      </c>
      <c r="AA6" s="12">
        <f>delta_v_normalisé!AA6*384748000/86400/27.321582</f>
        <v>0</v>
      </c>
      <c r="AB6" s="12">
        <f>delta_v_normalisé!AB6*384748000/86400/27.321582</f>
        <v>0</v>
      </c>
      <c r="AC6" s="12">
        <f>delta_v_normalisé!AC6*384748000/86400/27.321582</f>
        <v>0</v>
      </c>
      <c r="AD6" s="12">
        <f>delta_v_normalisé!AD6*384748000/86400/27.321582</f>
        <v>0</v>
      </c>
      <c r="AE6" s="12">
        <f>delta_v_normalisé!AE6*384748000/86400/27.321582</f>
        <v>0</v>
      </c>
      <c r="AF6" s="12">
        <f>delta_v_normalisé!AF6*384748000/86400/27.321582</f>
        <v>0</v>
      </c>
      <c r="AG6" s="12">
        <f>delta_v_normalisé!AG6*384748000/86400/27.321582</f>
        <v>0</v>
      </c>
      <c r="AH6" s="12">
        <f>delta_v_normalisé!AH6*384748000/86400/27.321582</f>
        <v>0</v>
      </c>
      <c r="AI6" s="12">
        <f>delta_v_normalisé!AI6*384748000/86400/27.321582</f>
        <v>0</v>
      </c>
      <c r="AJ6" s="12">
        <f>delta_v_normalisé!AJ6*384748000/86400/27.321582</f>
        <v>0</v>
      </c>
      <c r="AK6" s="12">
        <f>delta_v_normalisé!AK6*384748000/86400/27.321582</f>
        <v>0</v>
      </c>
      <c r="AL6" s="12">
        <f>delta_v_normalisé!AL6*384748000/86400/27.321582</f>
        <v>0</v>
      </c>
      <c r="AM6" s="12">
        <f>delta_v_normalisé!AM6*384748000/86400/27.321582</f>
        <v>0</v>
      </c>
      <c r="AN6" s="12">
        <f>delta_v_normalisé!AN6*384748000/86400/27.321582</f>
        <v>0</v>
      </c>
      <c r="AO6" s="12">
        <f>delta_v_normalisé!AO6*384748000/86400/27.321582</f>
        <v>0</v>
      </c>
      <c r="AP6" s="12">
        <f>delta_v_normalisé!AP6*384748000/86400/27.321582</f>
        <v>0</v>
      </c>
      <c r="AQ6" s="12">
        <f>delta_v_normalisé!AQ6*384748000/86400/27.321582</f>
        <v>0</v>
      </c>
      <c r="AR6" s="12">
        <f>delta_v_normalisé!AR6*384748000/86400/27.321582</f>
        <v>0</v>
      </c>
      <c r="AS6" s="12">
        <f>delta_v_normalisé!AS6*384748000/86400/27.321582</f>
        <v>0</v>
      </c>
      <c r="AT6" s="12">
        <f>delta_v_normalisé!AT6*384748000/86400/27.321582</f>
        <v>0</v>
      </c>
      <c r="AU6" s="12">
        <f>delta_v_normalisé!AU6*384748000/86400/27.321582</f>
        <v>0</v>
      </c>
      <c r="AV6" s="12">
        <f>delta_v_normalisé!AV6*384748000/86400/27.321582</f>
        <v>0</v>
      </c>
      <c r="AX6" s="11" t="s">
        <v>1</v>
      </c>
      <c r="AY6" s="9">
        <f>AY4/AY5</f>
        <v>251.36502971697041</v>
      </c>
      <c r="AZ6" s="9">
        <f>AZ4/AZ5</f>
        <v>319.80652614347815</v>
      </c>
      <c r="BA6" s="15" t="s">
        <v>11</v>
      </c>
    </row>
    <row r="7" spans="1:54" x14ac:dyDescent="0.2">
      <c r="A7" s="12">
        <f>delta_v_normalisé!A7*384748000/86400/27.321582</f>
        <v>0</v>
      </c>
      <c r="B7" s="12">
        <f>delta_v_normalisé!B7*384748000/86400/27.321582</f>
        <v>0</v>
      </c>
      <c r="C7" s="12">
        <f>delta_v_normalisé!C7*384748000/86400/27.321582</f>
        <v>0</v>
      </c>
      <c r="D7" s="12">
        <f>delta_v_normalisé!D7*384748000/86400/27.321582</f>
        <v>0</v>
      </c>
      <c r="E7" s="12">
        <f>delta_v_normalisé!E7*384748000/86400/27.321582</f>
        <v>273.01174573090208</v>
      </c>
      <c r="F7" s="12">
        <f>delta_v_normalisé!F7*384748000/86400/27.321582</f>
        <v>0</v>
      </c>
      <c r="G7" s="12">
        <f>delta_v_normalisé!G7*384748000/86400/27.321582</f>
        <v>0</v>
      </c>
      <c r="H7" s="12">
        <f>delta_v_normalisé!H7*384748000/86400/27.321582</f>
        <v>0</v>
      </c>
      <c r="I7" s="12">
        <f>delta_v_normalisé!I7*384748000/86400/27.321582</f>
        <v>0</v>
      </c>
      <c r="J7" s="12">
        <f>delta_v_normalisé!J7*384748000/86400/27.321582</f>
        <v>0</v>
      </c>
      <c r="K7" s="12">
        <f>delta_v_normalisé!K7*384748000/86400/27.321582</f>
        <v>0</v>
      </c>
      <c r="L7" s="12">
        <f>delta_v_normalisé!L7*384748000/86400/27.321582</f>
        <v>0</v>
      </c>
      <c r="M7" s="12">
        <f>delta_v_normalisé!M7*384748000/86400/27.321582</f>
        <v>0</v>
      </c>
      <c r="N7" s="12">
        <f>delta_v_normalisé!N7*384748000/86400/27.321582</f>
        <v>0</v>
      </c>
      <c r="O7" s="12">
        <f>delta_v_normalisé!O7*384748000/86400/27.321582</f>
        <v>0</v>
      </c>
      <c r="P7" s="12">
        <f>delta_v_normalisé!P7*384748000/86400/27.321582</f>
        <v>0</v>
      </c>
      <c r="Q7" s="12">
        <f>delta_v_normalisé!Q7*384748000/86400/27.321582</f>
        <v>0</v>
      </c>
      <c r="R7" s="12">
        <f>delta_v_normalisé!R7*384748000/86400/27.321582</f>
        <v>0</v>
      </c>
      <c r="S7" s="12">
        <f>delta_v_normalisé!S7*384748000/86400/27.321582</f>
        <v>0</v>
      </c>
      <c r="T7" s="12">
        <f>delta_v_normalisé!T7*384748000/86400/27.321582</f>
        <v>0</v>
      </c>
      <c r="U7" s="12">
        <f>delta_v_normalisé!U7*384748000/86400/27.321582</f>
        <v>0</v>
      </c>
      <c r="V7" s="12">
        <f>delta_v_normalisé!V7*384748000/86400/27.321582</f>
        <v>0</v>
      </c>
      <c r="W7" s="12">
        <f>delta_v_normalisé!W7*384748000/86400/27.321582</f>
        <v>0</v>
      </c>
      <c r="X7" s="12">
        <f>delta_v_normalisé!X7*384748000/86400/27.321582</f>
        <v>0</v>
      </c>
      <c r="Y7" s="12">
        <f>delta_v_normalisé!Y7*384748000/86400/27.321582</f>
        <v>0</v>
      </c>
      <c r="Z7" s="12">
        <f>delta_v_normalisé!Z7*384748000/86400/27.321582</f>
        <v>0</v>
      </c>
      <c r="AA7" s="12">
        <f>delta_v_normalisé!AA7*384748000/86400/27.321582</f>
        <v>0</v>
      </c>
      <c r="AB7" s="12">
        <f>delta_v_normalisé!AB7*384748000/86400/27.321582</f>
        <v>0</v>
      </c>
      <c r="AC7" s="12">
        <f>delta_v_normalisé!AC7*384748000/86400/27.321582</f>
        <v>0</v>
      </c>
      <c r="AD7" s="12">
        <f>delta_v_normalisé!AD7*384748000/86400/27.321582</f>
        <v>0</v>
      </c>
      <c r="AE7" s="12">
        <f>delta_v_normalisé!AE7*384748000/86400/27.321582</f>
        <v>0</v>
      </c>
      <c r="AF7" s="12">
        <f>delta_v_normalisé!AF7*384748000/86400/27.321582</f>
        <v>0</v>
      </c>
      <c r="AG7" s="12">
        <f>delta_v_normalisé!AG7*384748000/86400/27.321582</f>
        <v>0</v>
      </c>
      <c r="AH7" s="12">
        <f>delta_v_normalisé!AH7*384748000/86400/27.321582</f>
        <v>0</v>
      </c>
      <c r="AI7" s="12">
        <f>delta_v_normalisé!AI7*384748000/86400/27.321582</f>
        <v>0</v>
      </c>
      <c r="AJ7" s="12">
        <f>delta_v_normalisé!AJ7*384748000/86400/27.321582</f>
        <v>0</v>
      </c>
      <c r="AK7" s="12">
        <f>delta_v_normalisé!AK7*384748000/86400/27.321582</f>
        <v>0</v>
      </c>
      <c r="AL7" s="12">
        <f>delta_v_normalisé!AL7*384748000/86400/27.321582</f>
        <v>0</v>
      </c>
      <c r="AM7" s="12">
        <f>delta_v_normalisé!AM7*384748000/86400/27.321582</f>
        <v>0</v>
      </c>
      <c r="AN7" s="12">
        <f>delta_v_normalisé!AN7*384748000/86400/27.321582</f>
        <v>0</v>
      </c>
      <c r="AO7" s="12">
        <f>delta_v_normalisé!AO7*384748000/86400/27.321582</f>
        <v>0</v>
      </c>
      <c r="AP7" s="12">
        <f>delta_v_normalisé!AP7*384748000/86400/27.321582</f>
        <v>0</v>
      </c>
      <c r="AQ7" s="12">
        <f>delta_v_normalisé!AQ7*384748000/86400/27.321582</f>
        <v>0</v>
      </c>
      <c r="AR7" s="12">
        <f>delta_v_normalisé!AR7*384748000/86400/27.321582</f>
        <v>0</v>
      </c>
      <c r="AS7" s="12">
        <f>delta_v_normalisé!AS7*384748000/86400/27.321582</f>
        <v>0</v>
      </c>
      <c r="AT7" s="12">
        <f>delta_v_normalisé!AT7*384748000/86400/27.321582</f>
        <v>0</v>
      </c>
      <c r="AU7" s="12">
        <f>delta_v_normalisé!AU7*384748000/86400/27.321582</f>
        <v>0</v>
      </c>
      <c r="AV7" s="12">
        <f>delta_v_normalisé!AV7*384748000/86400/27.321582</f>
        <v>0</v>
      </c>
      <c r="AX7" s="11" t="s">
        <v>17</v>
      </c>
      <c r="AY7" s="9">
        <f>($AY$17+$BB$17)*(1-EXP(-AY4/$AZ$13/9.81))</f>
        <v>16.680771695638004</v>
      </c>
      <c r="AZ7" s="9">
        <f>($AY$17+$BB$17)*(1-EXP(-AZ4/$AZ$13/9.81))</f>
        <v>20.660880542629986</v>
      </c>
      <c r="BA7" s="15" t="s">
        <v>13</v>
      </c>
    </row>
    <row r="8" spans="1:54" x14ac:dyDescent="0.2">
      <c r="A8" s="12">
        <f>delta_v_normalisé!A8*384748000/86400/27.321582</f>
        <v>0</v>
      </c>
      <c r="B8" s="12">
        <f>delta_v_normalisé!B8*384748000/86400/27.321582</f>
        <v>0</v>
      </c>
      <c r="C8" s="12">
        <f>delta_v_normalisé!C8*384748000/86400/27.321582</f>
        <v>0</v>
      </c>
      <c r="D8" s="12">
        <f>delta_v_normalisé!D8*384748000/86400/27.321582</f>
        <v>0</v>
      </c>
      <c r="E8" s="12">
        <f>delta_v_normalisé!E8*384748000/86400/27.321582</f>
        <v>0</v>
      </c>
      <c r="F8" s="12">
        <f>delta_v_normalisé!F8*384748000/86400/27.321582</f>
        <v>259.57073357639524</v>
      </c>
      <c r="G8" s="12">
        <f>delta_v_normalisé!G8*384748000/86400/27.321582</f>
        <v>0</v>
      </c>
      <c r="H8" s="12">
        <f>delta_v_normalisé!H8*384748000/86400/27.321582</f>
        <v>0</v>
      </c>
      <c r="I8" s="12">
        <f>delta_v_normalisé!I8*384748000/86400/27.321582</f>
        <v>0</v>
      </c>
      <c r="J8" s="12">
        <f>delta_v_normalisé!J8*384748000/86400/27.321582</f>
        <v>0</v>
      </c>
      <c r="K8" s="12">
        <f>delta_v_normalisé!K8*384748000/86400/27.321582</f>
        <v>0</v>
      </c>
      <c r="L8" s="12">
        <f>delta_v_normalisé!L8*384748000/86400/27.321582</f>
        <v>0</v>
      </c>
      <c r="M8" s="12">
        <f>delta_v_normalisé!M8*384748000/86400/27.321582</f>
        <v>0</v>
      </c>
      <c r="N8" s="12">
        <f>delta_v_normalisé!N8*384748000/86400/27.321582</f>
        <v>0</v>
      </c>
      <c r="O8" s="12">
        <f>delta_v_normalisé!O8*384748000/86400/27.321582</f>
        <v>0</v>
      </c>
      <c r="P8" s="12">
        <f>delta_v_normalisé!P8*384748000/86400/27.321582</f>
        <v>0</v>
      </c>
      <c r="Q8" s="12">
        <f>delta_v_normalisé!Q8*384748000/86400/27.321582</f>
        <v>0</v>
      </c>
      <c r="R8" s="12">
        <f>delta_v_normalisé!R8*384748000/86400/27.321582</f>
        <v>0</v>
      </c>
      <c r="S8" s="12">
        <f>delta_v_normalisé!S8*384748000/86400/27.321582</f>
        <v>0</v>
      </c>
      <c r="T8" s="12">
        <f>delta_v_normalisé!T8*384748000/86400/27.321582</f>
        <v>0</v>
      </c>
      <c r="U8" s="12">
        <f>delta_v_normalisé!U8*384748000/86400/27.321582</f>
        <v>0</v>
      </c>
      <c r="V8" s="12">
        <f>delta_v_normalisé!V8*384748000/86400/27.321582</f>
        <v>0</v>
      </c>
      <c r="W8" s="12">
        <f>delta_v_normalisé!W8*384748000/86400/27.321582</f>
        <v>0</v>
      </c>
      <c r="X8" s="12">
        <f>delta_v_normalisé!X8*384748000/86400/27.321582</f>
        <v>0</v>
      </c>
      <c r="Y8" s="12">
        <f>delta_v_normalisé!Y8*384748000/86400/27.321582</f>
        <v>0</v>
      </c>
      <c r="Z8" s="12">
        <f>delta_v_normalisé!Z8*384748000/86400/27.321582</f>
        <v>0</v>
      </c>
      <c r="AA8" s="12">
        <f>delta_v_normalisé!AA8*384748000/86400/27.321582</f>
        <v>0</v>
      </c>
      <c r="AB8" s="12">
        <f>delta_v_normalisé!AB8*384748000/86400/27.321582</f>
        <v>0</v>
      </c>
      <c r="AC8" s="12">
        <f>delta_v_normalisé!AC8*384748000/86400/27.321582</f>
        <v>0</v>
      </c>
      <c r="AD8" s="12">
        <f>delta_v_normalisé!AD8*384748000/86400/27.321582</f>
        <v>0</v>
      </c>
      <c r="AE8" s="12">
        <f>delta_v_normalisé!AE8*384748000/86400/27.321582</f>
        <v>0</v>
      </c>
      <c r="AF8" s="12">
        <f>delta_v_normalisé!AF8*384748000/86400/27.321582</f>
        <v>0</v>
      </c>
      <c r="AG8" s="12">
        <f>delta_v_normalisé!AG8*384748000/86400/27.321582</f>
        <v>0</v>
      </c>
      <c r="AH8" s="12">
        <f>delta_v_normalisé!AH8*384748000/86400/27.321582</f>
        <v>0</v>
      </c>
      <c r="AI8" s="12">
        <f>delta_v_normalisé!AI8*384748000/86400/27.321582</f>
        <v>0</v>
      </c>
      <c r="AJ8" s="12">
        <f>delta_v_normalisé!AJ8*384748000/86400/27.321582</f>
        <v>0</v>
      </c>
      <c r="AK8" s="12">
        <f>delta_v_normalisé!AK8*384748000/86400/27.321582</f>
        <v>0</v>
      </c>
      <c r="AL8" s="12">
        <f>delta_v_normalisé!AL8*384748000/86400/27.321582</f>
        <v>0</v>
      </c>
      <c r="AM8" s="12">
        <f>delta_v_normalisé!AM8*384748000/86400/27.321582</f>
        <v>0</v>
      </c>
      <c r="AN8" s="12">
        <f>delta_v_normalisé!AN8*384748000/86400/27.321582</f>
        <v>0</v>
      </c>
      <c r="AO8" s="12">
        <f>delta_v_normalisé!AO8*384748000/86400/27.321582</f>
        <v>0</v>
      </c>
      <c r="AP8" s="12">
        <f>delta_v_normalisé!AP8*384748000/86400/27.321582</f>
        <v>0</v>
      </c>
      <c r="AQ8" s="12">
        <f>delta_v_normalisé!AQ8*384748000/86400/27.321582</f>
        <v>0</v>
      </c>
      <c r="AR8" s="12">
        <f>delta_v_normalisé!AR8*384748000/86400/27.321582</f>
        <v>0</v>
      </c>
      <c r="AS8" s="12">
        <f>delta_v_normalisé!AS8*384748000/86400/27.321582</f>
        <v>0</v>
      </c>
      <c r="AT8" s="12">
        <f>delta_v_normalisé!AT8*384748000/86400/27.321582</f>
        <v>0</v>
      </c>
      <c r="AU8" s="12">
        <f>delta_v_normalisé!AU8*384748000/86400/27.321582</f>
        <v>0</v>
      </c>
      <c r="AV8" s="12">
        <f>delta_v_normalisé!AV8*384748000/86400/27.321582</f>
        <v>0</v>
      </c>
      <c r="AX8" s="11" t="s">
        <v>18</v>
      </c>
      <c r="AY8" s="9">
        <f>AY7/AY5</f>
        <v>0.6950321539849168</v>
      </c>
      <c r="AZ8" s="9">
        <f>AZ7/AZ5</f>
        <v>0.86087002260958279</v>
      </c>
      <c r="BA8" s="15" t="s">
        <v>13</v>
      </c>
    </row>
    <row r="9" spans="1:54" x14ac:dyDescent="0.2">
      <c r="A9" s="12">
        <f>delta_v_normalisé!A9*384748000/86400/27.321582</f>
        <v>0</v>
      </c>
      <c r="B9" s="12">
        <f>delta_v_normalisé!B9*384748000/86400/27.321582</f>
        <v>0</v>
      </c>
      <c r="C9" s="12">
        <f>delta_v_normalisé!C9*384748000/86400/27.321582</f>
        <v>0</v>
      </c>
      <c r="D9" s="12">
        <f>delta_v_normalisé!D9*384748000/86400/27.321582</f>
        <v>0</v>
      </c>
      <c r="E9" s="12">
        <f>delta_v_normalisé!E9*384748000/86400/27.321582</f>
        <v>0</v>
      </c>
      <c r="F9" s="12">
        <f>delta_v_normalisé!F9*384748000/86400/27.321582</f>
        <v>0</v>
      </c>
      <c r="G9" s="12">
        <f>delta_v_normalisé!G9*384748000/86400/27.321582</f>
        <v>186.07509743897933</v>
      </c>
      <c r="H9" s="12">
        <f>delta_v_normalisé!H9*384748000/86400/27.321582</f>
        <v>0</v>
      </c>
      <c r="I9" s="12">
        <f>delta_v_normalisé!I9*384748000/86400/27.321582</f>
        <v>0</v>
      </c>
      <c r="J9" s="12">
        <f>delta_v_normalisé!J9*384748000/86400/27.321582</f>
        <v>0</v>
      </c>
      <c r="K9" s="12">
        <f>delta_v_normalisé!K9*384748000/86400/27.321582</f>
        <v>0</v>
      </c>
      <c r="L9" s="12">
        <f>delta_v_normalisé!L9*384748000/86400/27.321582</f>
        <v>0</v>
      </c>
      <c r="M9" s="12">
        <f>delta_v_normalisé!M9*384748000/86400/27.321582</f>
        <v>0</v>
      </c>
      <c r="N9" s="12">
        <f>delta_v_normalisé!N9*384748000/86400/27.321582</f>
        <v>0</v>
      </c>
      <c r="O9" s="12">
        <f>delta_v_normalisé!O9*384748000/86400/27.321582</f>
        <v>0</v>
      </c>
      <c r="P9" s="12">
        <f>delta_v_normalisé!P9*384748000/86400/27.321582</f>
        <v>0</v>
      </c>
      <c r="Q9" s="12">
        <f>delta_v_normalisé!Q9*384748000/86400/27.321582</f>
        <v>0</v>
      </c>
      <c r="R9" s="12">
        <f>delta_v_normalisé!R9*384748000/86400/27.321582</f>
        <v>0</v>
      </c>
      <c r="S9" s="12">
        <f>delta_v_normalisé!S9*384748000/86400/27.321582</f>
        <v>0</v>
      </c>
      <c r="T9" s="12">
        <f>delta_v_normalisé!T9*384748000/86400/27.321582</f>
        <v>0</v>
      </c>
      <c r="U9" s="12">
        <f>delta_v_normalisé!U9*384748000/86400/27.321582</f>
        <v>0</v>
      </c>
      <c r="V9" s="12">
        <f>delta_v_normalisé!V9*384748000/86400/27.321582</f>
        <v>0</v>
      </c>
      <c r="W9" s="12">
        <f>delta_v_normalisé!W9*384748000/86400/27.321582</f>
        <v>0</v>
      </c>
      <c r="X9" s="12">
        <f>delta_v_normalisé!X9*384748000/86400/27.321582</f>
        <v>0</v>
      </c>
      <c r="Y9" s="12">
        <f>delta_v_normalisé!Y9*384748000/86400/27.321582</f>
        <v>0</v>
      </c>
      <c r="Z9" s="12">
        <f>delta_v_normalisé!Z9*384748000/86400/27.321582</f>
        <v>0</v>
      </c>
      <c r="AA9" s="12">
        <f>delta_v_normalisé!AA9*384748000/86400/27.321582</f>
        <v>0</v>
      </c>
      <c r="AB9" s="12">
        <f>delta_v_normalisé!AB9*384748000/86400/27.321582</f>
        <v>0</v>
      </c>
      <c r="AC9" s="12">
        <f>delta_v_normalisé!AC9*384748000/86400/27.321582</f>
        <v>0</v>
      </c>
      <c r="AD9" s="12">
        <f>delta_v_normalisé!AD9*384748000/86400/27.321582</f>
        <v>0</v>
      </c>
      <c r="AE9" s="12">
        <f>delta_v_normalisé!AE9*384748000/86400/27.321582</f>
        <v>0</v>
      </c>
      <c r="AF9" s="12">
        <f>delta_v_normalisé!AF9*384748000/86400/27.321582</f>
        <v>0</v>
      </c>
      <c r="AG9" s="12">
        <f>delta_v_normalisé!AG9*384748000/86400/27.321582</f>
        <v>0</v>
      </c>
      <c r="AH9" s="12">
        <f>delta_v_normalisé!AH9*384748000/86400/27.321582</f>
        <v>0</v>
      </c>
      <c r="AI9" s="12">
        <f>delta_v_normalisé!AI9*384748000/86400/27.321582</f>
        <v>0</v>
      </c>
      <c r="AJ9" s="12">
        <f>delta_v_normalisé!AJ9*384748000/86400/27.321582</f>
        <v>0</v>
      </c>
      <c r="AK9" s="12">
        <f>delta_v_normalisé!AK9*384748000/86400/27.321582</f>
        <v>0</v>
      </c>
      <c r="AL9" s="12">
        <f>delta_v_normalisé!AL9*384748000/86400/27.321582</f>
        <v>0</v>
      </c>
      <c r="AM9" s="12">
        <f>delta_v_normalisé!AM9*384748000/86400/27.321582</f>
        <v>0</v>
      </c>
      <c r="AN9" s="12">
        <f>delta_v_normalisé!AN9*384748000/86400/27.321582</f>
        <v>0</v>
      </c>
      <c r="AO9" s="12">
        <f>delta_v_normalisé!AO9*384748000/86400/27.321582</f>
        <v>0</v>
      </c>
      <c r="AP9" s="12">
        <f>delta_v_normalisé!AP9*384748000/86400/27.321582</f>
        <v>0</v>
      </c>
      <c r="AQ9" s="12">
        <f>delta_v_normalisé!AQ9*384748000/86400/27.321582</f>
        <v>0</v>
      </c>
      <c r="AR9" s="12">
        <f>delta_v_normalisé!AR9*384748000/86400/27.321582</f>
        <v>0</v>
      </c>
      <c r="AS9" s="12">
        <f>delta_v_normalisé!AS9*384748000/86400/27.321582</f>
        <v>0</v>
      </c>
      <c r="AT9" s="12">
        <f>delta_v_normalisé!AT9*384748000/86400/27.321582</f>
        <v>0</v>
      </c>
      <c r="AU9" s="12">
        <f>delta_v_normalisé!AU9*384748000/86400/27.321582</f>
        <v>0</v>
      </c>
      <c r="AV9" s="12">
        <f>delta_v_normalisé!AV9*384748000/86400/27.321582</f>
        <v>0</v>
      </c>
      <c r="AX9" s="11" t="s">
        <v>15</v>
      </c>
      <c r="AY9" s="9">
        <f>AY6+AZ6</f>
        <v>571.17155586044851</v>
      </c>
      <c r="AZ9" s="9"/>
      <c r="BA9" s="15" t="s">
        <v>11</v>
      </c>
    </row>
    <row r="10" spans="1:54" x14ac:dyDescent="0.2">
      <c r="A10" s="12">
        <f>delta_v_normalisé!A10*384748000/86400/27.321582</f>
        <v>0</v>
      </c>
      <c r="B10" s="12">
        <f>delta_v_normalisé!B10*384748000/86400/27.321582</f>
        <v>0</v>
      </c>
      <c r="C10" s="12">
        <f>delta_v_normalisé!C10*384748000/86400/27.321582</f>
        <v>0</v>
      </c>
      <c r="D10" s="12">
        <f>delta_v_normalisé!D10*384748000/86400/27.321582</f>
        <v>0</v>
      </c>
      <c r="E10" s="12">
        <f>delta_v_normalisé!E10*384748000/86400/27.321582</f>
        <v>0</v>
      </c>
      <c r="F10" s="12">
        <f>delta_v_normalisé!F10*384748000/86400/27.321582</f>
        <v>0</v>
      </c>
      <c r="G10" s="12">
        <f>delta_v_normalisé!G10*384748000/86400/27.321582</f>
        <v>0</v>
      </c>
      <c r="H10" s="12">
        <f>delta_v_normalisé!H10*384748000/86400/27.321582</f>
        <v>264.13453722070767</v>
      </c>
      <c r="I10" s="12">
        <f>delta_v_normalisé!I10*384748000/86400/27.321582</f>
        <v>0</v>
      </c>
      <c r="J10" s="12">
        <f>delta_v_normalisé!J10*384748000/86400/27.321582</f>
        <v>0</v>
      </c>
      <c r="K10" s="12">
        <f>delta_v_normalisé!K10*384748000/86400/27.321582</f>
        <v>0</v>
      </c>
      <c r="L10" s="12">
        <f>delta_v_normalisé!L10*384748000/86400/27.321582</f>
        <v>0</v>
      </c>
      <c r="M10" s="12">
        <f>delta_v_normalisé!M10*384748000/86400/27.321582</f>
        <v>0</v>
      </c>
      <c r="N10" s="12">
        <f>delta_v_normalisé!N10*384748000/86400/27.321582</f>
        <v>0</v>
      </c>
      <c r="O10" s="12">
        <f>delta_v_normalisé!O10*384748000/86400/27.321582</f>
        <v>0</v>
      </c>
      <c r="P10" s="12">
        <f>delta_v_normalisé!P10*384748000/86400/27.321582</f>
        <v>0</v>
      </c>
      <c r="Q10" s="12">
        <f>delta_v_normalisé!Q10*384748000/86400/27.321582</f>
        <v>0</v>
      </c>
      <c r="R10" s="12">
        <f>delta_v_normalisé!R10*384748000/86400/27.321582</f>
        <v>0</v>
      </c>
      <c r="S10" s="12">
        <f>delta_v_normalisé!S10*384748000/86400/27.321582</f>
        <v>0</v>
      </c>
      <c r="T10" s="12">
        <f>delta_v_normalisé!T10*384748000/86400/27.321582</f>
        <v>0</v>
      </c>
      <c r="U10" s="12">
        <f>delta_v_normalisé!U10*384748000/86400/27.321582</f>
        <v>0</v>
      </c>
      <c r="V10" s="12">
        <f>delta_v_normalisé!V10*384748000/86400/27.321582</f>
        <v>0</v>
      </c>
      <c r="W10" s="12">
        <f>delta_v_normalisé!W10*384748000/86400/27.321582</f>
        <v>0</v>
      </c>
      <c r="X10" s="12">
        <f>delta_v_normalisé!X10*384748000/86400/27.321582</f>
        <v>0</v>
      </c>
      <c r="Y10" s="12">
        <f>delta_v_normalisé!Y10*384748000/86400/27.321582</f>
        <v>0</v>
      </c>
      <c r="Z10" s="12">
        <f>delta_v_normalisé!Z10*384748000/86400/27.321582</f>
        <v>0</v>
      </c>
      <c r="AA10" s="12">
        <f>delta_v_normalisé!AA10*384748000/86400/27.321582</f>
        <v>0</v>
      </c>
      <c r="AB10" s="12">
        <f>delta_v_normalisé!AB10*384748000/86400/27.321582</f>
        <v>0</v>
      </c>
      <c r="AC10" s="12">
        <f>delta_v_normalisé!AC10*384748000/86400/27.321582</f>
        <v>0</v>
      </c>
      <c r="AD10" s="12">
        <f>delta_v_normalisé!AD10*384748000/86400/27.321582</f>
        <v>0</v>
      </c>
      <c r="AE10" s="12">
        <f>delta_v_normalisé!AE10*384748000/86400/27.321582</f>
        <v>0</v>
      </c>
      <c r="AF10" s="12">
        <f>delta_v_normalisé!AF10*384748000/86400/27.321582</f>
        <v>0</v>
      </c>
      <c r="AG10" s="12">
        <f>delta_v_normalisé!AG10*384748000/86400/27.321582</f>
        <v>0</v>
      </c>
      <c r="AH10" s="12">
        <f>delta_v_normalisé!AH10*384748000/86400/27.321582</f>
        <v>0</v>
      </c>
      <c r="AI10" s="12">
        <f>delta_v_normalisé!AI10*384748000/86400/27.321582</f>
        <v>0</v>
      </c>
      <c r="AJ10" s="12">
        <f>delta_v_normalisé!AJ10*384748000/86400/27.321582</f>
        <v>0</v>
      </c>
      <c r="AK10" s="12">
        <f>delta_v_normalisé!AK10*384748000/86400/27.321582</f>
        <v>0</v>
      </c>
      <c r="AL10" s="12">
        <f>delta_v_normalisé!AL10*384748000/86400/27.321582</f>
        <v>0</v>
      </c>
      <c r="AM10" s="12">
        <f>delta_v_normalisé!AM10*384748000/86400/27.321582</f>
        <v>0</v>
      </c>
      <c r="AN10" s="12">
        <f>delta_v_normalisé!AN10*384748000/86400/27.321582</f>
        <v>0</v>
      </c>
      <c r="AO10" s="12">
        <f>delta_v_normalisé!AO10*384748000/86400/27.321582</f>
        <v>0</v>
      </c>
      <c r="AP10" s="12">
        <f>delta_v_normalisé!AP10*384748000/86400/27.321582</f>
        <v>0</v>
      </c>
      <c r="AQ10" s="12">
        <f>delta_v_normalisé!AQ10*384748000/86400/27.321582</f>
        <v>0</v>
      </c>
      <c r="AR10" s="12">
        <f>delta_v_normalisé!AR10*384748000/86400/27.321582</f>
        <v>0</v>
      </c>
      <c r="AS10" s="12">
        <f>delta_v_normalisé!AS10*384748000/86400/27.321582</f>
        <v>0</v>
      </c>
      <c r="AT10" s="12">
        <f>delta_v_normalisé!AT10*384748000/86400/27.321582</f>
        <v>0</v>
      </c>
      <c r="AU10" s="12">
        <f>delta_v_normalisé!AU10*384748000/86400/27.321582</f>
        <v>0</v>
      </c>
      <c r="AV10" s="12">
        <f>delta_v_normalisé!AV10*384748000/86400/27.321582</f>
        <v>0</v>
      </c>
    </row>
    <row r="11" spans="1:54" x14ac:dyDescent="0.2">
      <c r="A11" s="12">
        <f>delta_v_normalisé!A11*384748000/86400/27.321582</f>
        <v>0</v>
      </c>
      <c r="B11" s="12">
        <f>delta_v_normalisé!B11*384748000/86400/27.321582</f>
        <v>0</v>
      </c>
      <c r="C11" s="12">
        <f>delta_v_normalisé!C11*384748000/86400/27.321582</f>
        <v>0</v>
      </c>
      <c r="D11" s="12">
        <f>delta_v_normalisé!D11*384748000/86400/27.321582</f>
        <v>0</v>
      </c>
      <c r="E11" s="12">
        <f>delta_v_normalisé!E11*384748000/86400/27.321582</f>
        <v>0</v>
      </c>
      <c r="F11" s="12">
        <f>delta_v_normalisé!F11*384748000/86400/27.321582</f>
        <v>0</v>
      </c>
      <c r="G11" s="12">
        <f>delta_v_normalisé!G11*384748000/86400/27.321582</f>
        <v>0</v>
      </c>
      <c r="H11" s="12">
        <f>delta_v_normalisé!H11*384748000/86400/27.321582</f>
        <v>0</v>
      </c>
      <c r="I11" s="12">
        <f>delta_v_normalisé!I11*384748000/86400/27.321582</f>
        <v>179.11941816051637</v>
      </c>
      <c r="J11" s="12">
        <f>delta_v_normalisé!J11*384748000/86400/27.321582</f>
        <v>0</v>
      </c>
      <c r="K11" s="12">
        <f>delta_v_normalisé!K11*384748000/86400/27.321582</f>
        <v>0</v>
      </c>
      <c r="L11" s="12">
        <f>delta_v_normalisé!L11*384748000/86400/27.321582</f>
        <v>0</v>
      </c>
      <c r="M11" s="12">
        <f>delta_v_normalisé!M11*384748000/86400/27.321582</f>
        <v>0</v>
      </c>
      <c r="N11" s="12">
        <f>delta_v_normalisé!N11*384748000/86400/27.321582</f>
        <v>0</v>
      </c>
      <c r="O11" s="12">
        <f>delta_v_normalisé!O11*384748000/86400/27.321582</f>
        <v>0</v>
      </c>
      <c r="P11" s="12">
        <f>delta_v_normalisé!P11*384748000/86400/27.321582</f>
        <v>0</v>
      </c>
      <c r="Q11" s="12">
        <f>delta_v_normalisé!Q11*384748000/86400/27.321582</f>
        <v>0</v>
      </c>
      <c r="R11" s="12">
        <f>delta_v_normalisé!R11*384748000/86400/27.321582</f>
        <v>0</v>
      </c>
      <c r="S11" s="12">
        <f>delta_v_normalisé!S11*384748000/86400/27.321582</f>
        <v>0</v>
      </c>
      <c r="T11" s="12">
        <f>delta_v_normalisé!T11*384748000/86400/27.321582</f>
        <v>0</v>
      </c>
      <c r="U11" s="12">
        <f>delta_v_normalisé!U11*384748000/86400/27.321582</f>
        <v>0</v>
      </c>
      <c r="V11" s="12">
        <f>delta_v_normalisé!V11*384748000/86400/27.321582</f>
        <v>0</v>
      </c>
      <c r="W11" s="12">
        <f>delta_v_normalisé!W11*384748000/86400/27.321582</f>
        <v>0</v>
      </c>
      <c r="X11" s="12">
        <f>delta_v_normalisé!X11*384748000/86400/27.321582</f>
        <v>0</v>
      </c>
      <c r="Y11" s="12">
        <f>delta_v_normalisé!Y11*384748000/86400/27.321582</f>
        <v>0</v>
      </c>
      <c r="Z11" s="12">
        <f>delta_v_normalisé!Z11*384748000/86400/27.321582</f>
        <v>0</v>
      </c>
      <c r="AA11" s="12">
        <f>delta_v_normalisé!AA11*384748000/86400/27.321582</f>
        <v>0</v>
      </c>
      <c r="AB11" s="12">
        <f>delta_v_normalisé!AB11*384748000/86400/27.321582</f>
        <v>0</v>
      </c>
      <c r="AC11" s="12">
        <f>delta_v_normalisé!AC11*384748000/86400/27.321582</f>
        <v>0</v>
      </c>
      <c r="AD11" s="12">
        <f>delta_v_normalisé!AD11*384748000/86400/27.321582</f>
        <v>0</v>
      </c>
      <c r="AE11" s="12">
        <f>delta_v_normalisé!AE11*384748000/86400/27.321582</f>
        <v>0</v>
      </c>
      <c r="AF11" s="12">
        <f>delta_v_normalisé!AF11*384748000/86400/27.321582</f>
        <v>0</v>
      </c>
      <c r="AG11" s="12">
        <f>delta_v_normalisé!AG11*384748000/86400/27.321582</f>
        <v>0</v>
      </c>
      <c r="AH11" s="12">
        <f>delta_v_normalisé!AH11*384748000/86400/27.321582</f>
        <v>0</v>
      </c>
      <c r="AI11" s="12">
        <f>delta_v_normalisé!AI11*384748000/86400/27.321582</f>
        <v>0</v>
      </c>
      <c r="AJ11" s="12">
        <f>delta_v_normalisé!AJ11*384748000/86400/27.321582</f>
        <v>0</v>
      </c>
      <c r="AK11" s="12">
        <f>delta_v_normalisé!AK11*384748000/86400/27.321582</f>
        <v>0</v>
      </c>
      <c r="AL11" s="12">
        <f>delta_v_normalisé!AL11*384748000/86400/27.321582</f>
        <v>0</v>
      </c>
      <c r="AM11" s="12">
        <f>delta_v_normalisé!AM11*384748000/86400/27.321582</f>
        <v>0</v>
      </c>
      <c r="AN11" s="12">
        <f>delta_v_normalisé!AN11*384748000/86400/27.321582</f>
        <v>0</v>
      </c>
      <c r="AO11" s="12">
        <f>delta_v_normalisé!AO11*384748000/86400/27.321582</f>
        <v>0</v>
      </c>
      <c r="AP11" s="12">
        <f>delta_v_normalisé!AP11*384748000/86400/27.321582</f>
        <v>0</v>
      </c>
      <c r="AQ11" s="12">
        <f>delta_v_normalisé!AQ11*384748000/86400/27.321582</f>
        <v>0</v>
      </c>
      <c r="AR11" s="12">
        <f>delta_v_normalisé!AR11*384748000/86400/27.321582</f>
        <v>0</v>
      </c>
      <c r="AS11" s="12">
        <f>delta_v_normalisé!AS11*384748000/86400/27.321582</f>
        <v>0</v>
      </c>
      <c r="AT11" s="12">
        <f>delta_v_normalisé!AT11*384748000/86400/27.321582</f>
        <v>0</v>
      </c>
      <c r="AU11" s="12">
        <f>delta_v_normalisé!AU11*384748000/86400/27.321582</f>
        <v>0</v>
      </c>
      <c r="AV11" s="12">
        <f>delta_v_normalisé!AV11*384748000/86400/27.321582</f>
        <v>0</v>
      </c>
    </row>
    <row r="12" spans="1:54" x14ac:dyDescent="0.2">
      <c r="A12" s="12">
        <f>delta_v_normalisé!A12*384748000/86400/27.321582</f>
        <v>0</v>
      </c>
      <c r="B12" s="12">
        <f>delta_v_normalisé!B12*384748000/86400/27.321582</f>
        <v>0</v>
      </c>
      <c r="C12" s="12">
        <f>delta_v_normalisé!C12*384748000/86400/27.321582</f>
        <v>0</v>
      </c>
      <c r="D12" s="12">
        <f>delta_v_normalisé!D12*384748000/86400/27.321582</f>
        <v>0</v>
      </c>
      <c r="E12" s="12">
        <f>delta_v_normalisé!E12*384748000/86400/27.321582</f>
        <v>0</v>
      </c>
      <c r="F12" s="12">
        <f>delta_v_normalisé!F12*384748000/86400/27.321582</f>
        <v>0</v>
      </c>
      <c r="G12" s="12">
        <f>delta_v_normalisé!G12*384748000/86400/27.321582</f>
        <v>0</v>
      </c>
      <c r="H12" s="12">
        <f>delta_v_normalisé!H12*384748000/86400/27.321582</f>
        <v>0</v>
      </c>
      <c r="I12" s="12">
        <f>delta_v_normalisé!I12*384748000/86400/27.321582</f>
        <v>0</v>
      </c>
      <c r="J12" s="12">
        <f>delta_v_normalisé!J12*384748000/86400/27.321582</f>
        <v>255.02261658853439</v>
      </c>
      <c r="K12" s="12">
        <f>delta_v_normalisé!K12*384748000/86400/27.321582</f>
        <v>0</v>
      </c>
      <c r="L12" s="12">
        <f>delta_v_normalisé!L12*384748000/86400/27.321582</f>
        <v>0</v>
      </c>
      <c r="M12" s="12">
        <f>delta_v_normalisé!M12*384748000/86400/27.321582</f>
        <v>0</v>
      </c>
      <c r="N12" s="12">
        <f>delta_v_normalisé!N12*384748000/86400/27.321582</f>
        <v>0</v>
      </c>
      <c r="O12" s="12">
        <f>delta_v_normalisé!O12*384748000/86400/27.321582</f>
        <v>0</v>
      </c>
      <c r="P12" s="12">
        <f>delta_v_normalisé!P12*384748000/86400/27.321582</f>
        <v>0</v>
      </c>
      <c r="Q12" s="12">
        <f>delta_v_normalisé!Q12*384748000/86400/27.321582</f>
        <v>0</v>
      </c>
      <c r="R12" s="12">
        <f>delta_v_normalisé!R12*384748000/86400/27.321582</f>
        <v>0</v>
      </c>
      <c r="S12" s="12">
        <f>delta_v_normalisé!S12*384748000/86400/27.321582</f>
        <v>0</v>
      </c>
      <c r="T12" s="12">
        <f>delta_v_normalisé!T12*384748000/86400/27.321582</f>
        <v>0</v>
      </c>
      <c r="U12" s="12">
        <f>delta_v_normalisé!U12*384748000/86400/27.321582</f>
        <v>0</v>
      </c>
      <c r="V12" s="12">
        <f>delta_v_normalisé!V12*384748000/86400/27.321582</f>
        <v>0</v>
      </c>
      <c r="W12" s="12">
        <f>delta_v_normalisé!W12*384748000/86400/27.321582</f>
        <v>0</v>
      </c>
      <c r="X12" s="12">
        <f>delta_v_normalisé!X12*384748000/86400/27.321582</f>
        <v>0</v>
      </c>
      <c r="Y12" s="12">
        <f>delta_v_normalisé!Y12*384748000/86400/27.321582</f>
        <v>0</v>
      </c>
      <c r="Z12" s="12">
        <f>delta_v_normalisé!Z12*384748000/86400/27.321582</f>
        <v>0</v>
      </c>
      <c r="AA12" s="12">
        <f>delta_v_normalisé!AA12*384748000/86400/27.321582</f>
        <v>0</v>
      </c>
      <c r="AB12" s="12">
        <f>delta_v_normalisé!AB12*384748000/86400/27.321582</f>
        <v>0</v>
      </c>
      <c r="AC12" s="12">
        <f>delta_v_normalisé!AC12*384748000/86400/27.321582</f>
        <v>0</v>
      </c>
      <c r="AD12" s="12">
        <f>delta_v_normalisé!AD12*384748000/86400/27.321582</f>
        <v>0</v>
      </c>
      <c r="AE12" s="12">
        <f>delta_v_normalisé!AE12*384748000/86400/27.321582</f>
        <v>0</v>
      </c>
      <c r="AF12" s="12">
        <f>delta_v_normalisé!AF12*384748000/86400/27.321582</f>
        <v>0</v>
      </c>
      <c r="AG12" s="12">
        <f>delta_v_normalisé!AG12*384748000/86400/27.321582</f>
        <v>0</v>
      </c>
      <c r="AH12" s="12">
        <f>delta_v_normalisé!AH12*384748000/86400/27.321582</f>
        <v>0</v>
      </c>
      <c r="AI12" s="12">
        <f>delta_v_normalisé!AI12*384748000/86400/27.321582</f>
        <v>0</v>
      </c>
      <c r="AJ12" s="12">
        <f>delta_v_normalisé!AJ12*384748000/86400/27.321582</f>
        <v>0</v>
      </c>
      <c r="AK12" s="12">
        <f>delta_v_normalisé!AK12*384748000/86400/27.321582</f>
        <v>0</v>
      </c>
      <c r="AL12" s="12">
        <f>delta_v_normalisé!AL12*384748000/86400/27.321582</f>
        <v>0</v>
      </c>
      <c r="AM12" s="12">
        <f>delta_v_normalisé!AM12*384748000/86400/27.321582</f>
        <v>0</v>
      </c>
      <c r="AN12" s="12">
        <f>delta_v_normalisé!AN12*384748000/86400/27.321582</f>
        <v>0</v>
      </c>
      <c r="AO12" s="12">
        <f>delta_v_normalisé!AO12*384748000/86400/27.321582</f>
        <v>0</v>
      </c>
      <c r="AP12" s="12">
        <f>delta_v_normalisé!AP12*384748000/86400/27.321582</f>
        <v>0</v>
      </c>
      <c r="AQ12" s="12">
        <f>delta_v_normalisé!AQ12*384748000/86400/27.321582</f>
        <v>0</v>
      </c>
      <c r="AR12" s="12">
        <f>delta_v_normalisé!AR12*384748000/86400/27.321582</f>
        <v>0</v>
      </c>
      <c r="AS12" s="12">
        <f>delta_v_normalisé!AS12*384748000/86400/27.321582</f>
        <v>0</v>
      </c>
      <c r="AT12" s="12">
        <f>delta_v_normalisé!AT12*384748000/86400/27.321582</f>
        <v>0</v>
      </c>
      <c r="AU12" s="12">
        <f>delta_v_normalisé!AU12*384748000/86400/27.321582</f>
        <v>0</v>
      </c>
      <c r="AV12" s="12">
        <f>delta_v_normalisé!AV12*384748000/86400/27.321582</f>
        <v>0</v>
      </c>
      <c r="AX12" s="6"/>
      <c r="AY12" s="7" t="s">
        <v>3</v>
      </c>
      <c r="AZ12" s="7" t="s">
        <v>4</v>
      </c>
      <c r="BA12" s="7" t="s">
        <v>5</v>
      </c>
      <c r="BB12" s="7" t="s">
        <v>6</v>
      </c>
    </row>
    <row r="13" spans="1:54" x14ac:dyDescent="0.2">
      <c r="A13" s="12">
        <f>delta_v_normalisé!A13*384748000/86400/27.321582</f>
        <v>0</v>
      </c>
      <c r="B13" s="12">
        <f>delta_v_normalisé!B13*384748000/86400/27.321582</f>
        <v>0</v>
      </c>
      <c r="C13" s="12">
        <f>delta_v_normalisé!C13*384748000/86400/27.321582</f>
        <v>0</v>
      </c>
      <c r="D13" s="12">
        <f>delta_v_normalisé!D13*384748000/86400/27.321582</f>
        <v>0</v>
      </c>
      <c r="E13" s="12">
        <f>delta_v_normalisé!E13*384748000/86400/27.321582</f>
        <v>0</v>
      </c>
      <c r="F13" s="12">
        <f>delta_v_normalisé!F13*384748000/86400/27.321582</f>
        <v>0</v>
      </c>
      <c r="G13" s="12">
        <f>delta_v_normalisé!G13*384748000/86400/27.321582</f>
        <v>0</v>
      </c>
      <c r="H13" s="12">
        <f>delta_v_normalisé!H13*384748000/86400/27.321582</f>
        <v>0</v>
      </c>
      <c r="I13" s="12">
        <f>delta_v_normalisé!I13*384748000/86400/27.321582</f>
        <v>0</v>
      </c>
      <c r="J13" s="12">
        <f>delta_v_normalisé!J13*384748000/86400/27.321582</f>
        <v>0</v>
      </c>
      <c r="K13" s="12">
        <f>delta_v_normalisé!K13*384748000/86400/27.321582</f>
        <v>209.93882512873759</v>
      </c>
      <c r="L13" s="12">
        <f>delta_v_normalisé!L13*384748000/86400/27.321582</f>
        <v>0</v>
      </c>
      <c r="M13" s="12">
        <f>delta_v_normalisé!M13*384748000/86400/27.321582</f>
        <v>0</v>
      </c>
      <c r="N13" s="12">
        <f>delta_v_normalisé!N13*384748000/86400/27.321582</f>
        <v>0</v>
      </c>
      <c r="O13" s="12">
        <f>delta_v_normalisé!O13*384748000/86400/27.321582</f>
        <v>0</v>
      </c>
      <c r="P13" s="12">
        <f>delta_v_normalisé!P13*384748000/86400/27.321582</f>
        <v>0</v>
      </c>
      <c r="Q13" s="12">
        <f>delta_v_normalisé!Q13*384748000/86400/27.321582</f>
        <v>0</v>
      </c>
      <c r="R13" s="12">
        <f>delta_v_normalisé!R13*384748000/86400/27.321582</f>
        <v>0</v>
      </c>
      <c r="S13" s="12">
        <f>delta_v_normalisé!S13*384748000/86400/27.321582</f>
        <v>0</v>
      </c>
      <c r="T13" s="12">
        <f>delta_v_normalisé!T13*384748000/86400/27.321582</f>
        <v>0</v>
      </c>
      <c r="U13" s="12">
        <f>delta_v_normalisé!U13*384748000/86400/27.321582</f>
        <v>0</v>
      </c>
      <c r="V13" s="12">
        <f>delta_v_normalisé!V13*384748000/86400/27.321582</f>
        <v>0</v>
      </c>
      <c r="W13" s="12">
        <f>delta_v_normalisé!W13*384748000/86400/27.321582</f>
        <v>0</v>
      </c>
      <c r="X13" s="12">
        <f>delta_v_normalisé!X13*384748000/86400/27.321582</f>
        <v>0</v>
      </c>
      <c r="Y13" s="12">
        <f>delta_v_normalisé!Y13*384748000/86400/27.321582</f>
        <v>0</v>
      </c>
      <c r="Z13" s="12">
        <f>delta_v_normalisé!Z13*384748000/86400/27.321582</f>
        <v>0</v>
      </c>
      <c r="AA13" s="12">
        <f>delta_v_normalisé!AA13*384748000/86400/27.321582</f>
        <v>0</v>
      </c>
      <c r="AB13" s="12">
        <f>delta_v_normalisé!AB13*384748000/86400/27.321582</f>
        <v>0</v>
      </c>
      <c r="AC13" s="12">
        <f>delta_v_normalisé!AC13*384748000/86400/27.321582</f>
        <v>0</v>
      </c>
      <c r="AD13" s="12">
        <f>delta_v_normalisé!AD13*384748000/86400/27.321582</f>
        <v>0</v>
      </c>
      <c r="AE13" s="12">
        <f>delta_v_normalisé!AE13*384748000/86400/27.321582</f>
        <v>0</v>
      </c>
      <c r="AF13" s="12">
        <f>delta_v_normalisé!AF13*384748000/86400/27.321582</f>
        <v>0</v>
      </c>
      <c r="AG13" s="12">
        <f>delta_v_normalisé!AG13*384748000/86400/27.321582</f>
        <v>0</v>
      </c>
      <c r="AH13" s="12">
        <f>delta_v_normalisé!AH13*384748000/86400/27.321582</f>
        <v>0</v>
      </c>
      <c r="AI13" s="12">
        <f>delta_v_normalisé!AI13*384748000/86400/27.321582</f>
        <v>0</v>
      </c>
      <c r="AJ13" s="12">
        <f>delta_v_normalisé!AJ13*384748000/86400/27.321582</f>
        <v>0</v>
      </c>
      <c r="AK13" s="12">
        <f>delta_v_normalisé!AK13*384748000/86400/27.321582</f>
        <v>0</v>
      </c>
      <c r="AL13" s="12">
        <f>delta_v_normalisé!AL13*384748000/86400/27.321582</f>
        <v>0</v>
      </c>
      <c r="AM13" s="12">
        <f>delta_v_normalisé!AM13*384748000/86400/27.321582</f>
        <v>0</v>
      </c>
      <c r="AN13" s="12">
        <f>delta_v_normalisé!AN13*384748000/86400/27.321582</f>
        <v>0</v>
      </c>
      <c r="AO13" s="12">
        <f>delta_v_normalisé!AO13*384748000/86400/27.321582</f>
        <v>0</v>
      </c>
      <c r="AP13" s="12">
        <f>delta_v_normalisé!AP13*384748000/86400/27.321582</f>
        <v>0</v>
      </c>
      <c r="AQ13" s="12">
        <f>delta_v_normalisé!AQ13*384748000/86400/27.321582</f>
        <v>0</v>
      </c>
      <c r="AR13" s="12">
        <f>delta_v_normalisé!AR13*384748000/86400/27.321582</f>
        <v>0</v>
      </c>
      <c r="AS13" s="12">
        <f>delta_v_normalisé!AS13*384748000/86400/27.321582</f>
        <v>0</v>
      </c>
      <c r="AT13" s="12">
        <f>delta_v_normalisé!AT13*384748000/86400/27.321582</f>
        <v>0</v>
      </c>
      <c r="AU13" s="12">
        <f>delta_v_normalisé!AU13*384748000/86400/27.321582</f>
        <v>0</v>
      </c>
      <c r="AV13" s="12">
        <f>delta_v_normalisé!AV13*384748000/86400/27.321582</f>
        <v>0</v>
      </c>
      <c r="AX13" s="5" t="s">
        <v>7</v>
      </c>
      <c r="AY13" s="3">
        <v>2.5000000000000001E-2</v>
      </c>
      <c r="AZ13" s="3">
        <v>3000</v>
      </c>
      <c r="BA13" s="4">
        <f>AY13/AZ13/9.81*1000*3600</f>
        <v>3.0581039755351682</v>
      </c>
      <c r="BB13" s="3">
        <f>LN((AY17+BB17)/AY17)*AZ13*9.81</f>
        <v>17298.561548069363</v>
      </c>
    </row>
    <row r="14" spans="1:54" x14ac:dyDescent="0.2">
      <c r="A14" s="12">
        <f>delta_v_normalisé!A14*384748000/86400/27.321582</f>
        <v>0</v>
      </c>
      <c r="B14" s="12">
        <f>delta_v_normalisé!B14*384748000/86400/27.321582</f>
        <v>0</v>
      </c>
      <c r="C14" s="12">
        <f>delta_v_normalisé!C14*384748000/86400/27.321582</f>
        <v>0</v>
      </c>
      <c r="D14" s="12">
        <f>delta_v_normalisé!D14*384748000/86400/27.321582</f>
        <v>0</v>
      </c>
      <c r="E14" s="12">
        <f>delta_v_normalisé!E14*384748000/86400/27.321582</f>
        <v>0</v>
      </c>
      <c r="F14" s="12">
        <f>delta_v_normalisé!F14*384748000/86400/27.321582</f>
        <v>0</v>
      </c>
      <c r="G14" s="12">
        <f>delta_v_normalisé!G14*384748000/86400/27.321582</f>
        <v>0</v>
      </c>
      <c r="H14" s="12">
        <f>delta_v_normalisé!H14*384748000/86400/27.321582</f>
        <v>0</v>
      </c>
      <c r="I14" s="12">
        <f>delta_v_normalisé!I14*384748000/86400/27.321582</f>
        <v>0</v>
      </c>
      <c r="J14" s="12">
        <f>delta_v_normalisé!J14*384748000/86400/27.321582</f>
        <v>0</v>
      </c>
      <c r="K14" s="12">
        <f>delta_v_normalisé!K14*384748000/86400/27.321582</f>
        <v>0</v>
      </c>
      <c r="L14" s="12">
        <f>delta_v_normalisé!L14*384748000/86400/27.321582</f>
        <v>263.58110897045776</v>
      </c>
      <c r="M14" s="12">
        <f>delta_v_normalisé!M14*384748000/86400/27.321582</f>
        <v>0</v>
      </c>
      <c r="N14" s="12">
        <f>delta_v_normalisé!N14*384748000/86400/27.321582</f>
        <v>0</v>
      </c>
      <c r="O14" s="12">
        <f>delta_v_normalisé!O14*384748000/86400/27.321582</f>
        <v>0</v>
      </c>
      <c r="P14" s="12">
        <f>delta_v_normalisé!P14*384748000/86400/27.321582</f>
        <v>0</v>
      </c>
      <c r="Q14" s="12">
        <f>delta_v_normalisé!Q14*384748000/86400/27.321582</f>
        <v>0</v>
      </c>
      <c r="R14" s="12">
        <f>delta_v_normalisé!R14*384748000/86400/27.321582</f>
        <v>0</v>
      </c>
      <c r="S14" s="12">
        <f>delta_v_normalisé!S14*384748000/86400/27.321582</f>
        <v>0</v>
      </c>
      <c r="T14" s="12">
        <f>delta_v_normalisé!T14*384748000/86400/27.321582</f>
        <v>0</v>
      </c>
      <c r="U14" s="12">
        <f>delta_v_normalisé!U14*384748000/86400/27.321582</f>
        <v>0</v>
      </c>
      <c r="V14" s="12">
        <f>delta_v_normalisé!V14*384748000/86400/27.321582</f>
        <v>0</v>
      </c>
      <c r="W14" s="12">
        <f>delta_v_normalisé!W14*384748000/86400/27.321582</f>
        <v>0</v>
      </c>
      <c r="X14" s="12">
        <f>delta_v_normalisé!X14*384748000/86400/27.321582</f>
        <v>0</v>
      </c>
      <c r="Y14" s="12">
        <f>delta_v_normalisé!Y14*384748000/86400/27.321582</f>
        <v>0</v>
      </c>
      <c r="Z14" s="12">
        <f>delta_v_normalisé!Z14*384748000/86400/27.321582</f>
        <v>0</v>
      </c>
      <c r="AA14" s="12">
        <f>delta_v_normalisé!AA14*384748000/86400/27.321582</f>
        <v>0</v>
      </c>
      <c r="AB14" s="12">
        <f>delta_v_normalisé!AB14*384748000/86400/27.321582</f>
        <v>0</v>
      </c>
      <c r="AC14" s="12">
        <f>delta_v_normalisé!AC14*384748000/86400/27.321582</f>
        <v>0</v>
      </c>
      <c r="AD14" s="12">
        <f>delta_v_normalisé!AD14*384748000/86400/27.321582</f>
        <v>0</v>
      </c>
      <c r="AE14" s="12">
        <f>delta_v_normalisé!AE14*384748000/86400/27.321582</f>
        <v>0</v>
      </c>
      <c r="AF14" s="12">
        <f>delta_v_normalisé!AF14*384748000/86400/27.321582</f>
        <v>0</v>
      </c>
      <c r="AG14" s="12">
        <f>delta_v_normalisé!AG14*384748000/86400/27.321582</f>
        <v>0</v>
      </c>
      <c r="AH14" s="12">
        <f>delta_v_normalisé!AH14*384748000/86400/27.321582</f>
        <v>0</v>
      </c>
      <c r="AI14" s="12">
        <f>delta_v_normalisé!AI14*384748000/86400/27.321582</f>
        <v>0</v>
      </c>
      <c r="AJ14" s="12">
        <f>delta_v_normalisé!AJ14*384748000/86400/27.321582</f>
        <v>0</v>
      </c>
      <c r="AK14" s="12">
        <f>delta_v_normalisé!AK14*384748000/86400/27.321582</f>
        <v>0</v>
      </c>
      <c r="AL14" s="12">
        <f>delta_v_normalisé!AL14*384748000/86400/27.321582</f>
        <v>0</v>
      </c>
      <c r="AM14" s="12">
        <f>delta_v_normalisé!AM14*384748000/86400/27.321582</f>
        <v>0</v>
      </c>
      <c r="AN14" s="12">
        <f>delta_v_normalisé!AN14*384748000/86400/27.321582</f>
        <v>0</v>
      </c>
      <c r="AO14" s="12">
        <f>delta_v_normalisé!AO14*384748000/86400/27.321582</f>
        <v>0</v>
      </c>
      <c r="AP14" s="12">
        <f>delta_v_normalisé!AP14*384748000/86400/27.321582</f>
        <v>0</v>
      </c>
      <c r="AQ14" s="12">
        <f>delta_v_normalisé!AQ14*384748000/86400/27.321582</f>
        <v>0</v>
      </c>
      <c r="AR14" s="12">
        <f>delta_v_normalisé!AR14*384748000/86400/27.321582</f>
        <v>0</v>
      </c>
      <c r="AS14" s="12">
        <f>delta_v_normalisé!AS14*384748000/86400/27.321582</f>
        <v>0</v>
      </c>
      <c r="AT14" s="12">
        <f>delta_v_normalisé!AT14*384748000/86400/27.321582</f>
        <v>0</v>
      </c>
      <c r="AU14" s="12">
        <f>delta_v_normalisé!AU14*384748000/86400/27.321582</f>
        <v>0</v>
      </c>
      <c r="AV14" s="12">
        <f>delta_v_normalisé!AV14*384748000/86400/27.321582</f>
        <v>0</v>
      </c>
      <c r="AX14" s="5"/>
      <c r="AY14" s="3" t="s">
        <v>8</v>
      </c>
      <c r="AZ14" s="3" t="s">
        <v>9</v>
      </c>
      <c r="BA14" s="3" t="s">
        <v>10</v>
      </c>
      <c r="BB14" s="3" t="s">
        <v>11</v>
      </c>
    </row>
    <row r="15" spans="1:54" x14ac:dyDescent="0.2">
      <c r="A15" s="12">
        <f>delta_v_normalisé!A15*384748000/86400/27.321582</f>
        <v>0</v>
      </c>
      <c r="B15" s="12">
        <f>delta_v_normalisé!B15*384748000/86400/27.321582</f>
        <v>0</v>
      </c>
      <c r="C15" s="12">
        <f>delta_v_normalisé!C15*384748000/86400/27.321582</f>
        <v>0</v>
      </c>
      <c r="D15" s="12">
        <f>delta_v_normalisé!D15*384748000/86400/27.321582</f>
        <v>0</v>
      </c>
      <c r="E15" s="12">
        <f>delta_v_normalisé!E15*384748000/86400/27.321582</f>
        <v>0</v>
      </c>
      <c r="F15" s="12">
        <f>delta_v_normalisé!F15*384748000/86400/27.321582</f>
        <v>0</v>
      </c>
      <c r="G15" s="12">
        <f>delta_v_normalisé!G15*384748000/86400/27.321582</f>
        <v>0</v>
      </c>
      <c r="H15" s="12">
        <f>delta_v_normalisé!H15*384748000/86400/27.321582</f>
        <v>0</v>
      </c>
      <c r="I15" s="12">
        <f>delta_v_normalisé!I15*384748000/86400/27.321582</f>
        <v>0</v>
      </c>
      <c r="J15" s="12">
        <f>delta_v_normalisé!J15*384748000/86400/27.321582</f>
        <v>0</v>
      </c>
      <c r="K15" s="12">
        <f>delta_v_normalisé!K15*384748000/86400/27.321582</f>
        <v>0</v>
      </c>
      <c r="L15" s="12">
        <f>delta_v_normalisé!L15*384748000/86400/27.321582</f>
        <v>0</v>
      </c>
      <c r="M15" s="12">
        <f>delta_v_normalisé!M15*384748000/86400/27.321582</f>
        <v>256.46677843438999</v>
      </c>
      <c r="N15" s="12">
        <f>delta_v_normalisé!N15*384748000/86400/27.321582</f>
        <v>0</v>
      </c>
      <c r="O15" s="12">
        <f>delta_v_normalisé!O15*384748000/86400/27.321582</f>
        <v>0</v>
      </c>
      <c r="P15" s="12">
        <f>delta_v_normalisé!P15*384748000/86400/27.321582</f>
        <v>0</v>
      </c>
      <c r="Q15" s="12">
        <f>delta_v_normalisé!Q15*384748000/86400/27.321582</f>
        <v>0</v>
      </c>
      <c r="R15" s="12">
        <f>delta_v_normalisé!R15*384748000/86400/27.321582</f>
        <v>0</v>
      </c>
      <c r="S15" s="12">
        <f>delta_v_normalisé!S15*384748000/86400/27.321582</f>
        <v>0</v>
      </c>
      <c r="T15" s="12">
        <f>delta_v_normalisé!T15*384748000/86400/27.321582</f>
        <v>0</v>
      </c>
      <c r="U15" s="12">
        <f>delta_v_normalisé!U15*384748000/86400/27.321582</f>
        <v>0</v>
      </c>
      <c r="V15" s="12">
        <f>delta_v_normalisé!V15*384748000/86400/27.321582</f>
        <v>0</v>
      </c>
      <c r="W15" s="12">
        <f>delta_v_normalisé!W15*384748000/86400/27.321582</f>
        <v>0</v>
      </c>
      <c r="X15" s="12">
        <f>delta_v_normalisé!X15*384748000/86400/27.321582</f>
        <v>0</v>
      </c>
      <c r="Y15" s="12">
        <f>delta_v_normalisé!Y15*384748000/86400/27.321582</f>
        <v>0</v>
      </c>
      <c r="Z15" s="12">
        <f>delta_v_normalisé!Z15*384748000/86400/27.321582</f>
        <v>0</v>
      </c>
      <c r="AA15" s="12">
        <f>delta_v_normalisé!AA15*384748000/86400/27.321582</f>
        <v>0</v>
      </c>
      <c r="AB15" s="12">
        <f>delta_v_normalisé!AB15*384748000/86400/27.321582</f>
        <v>0</v>
      </c>
      <c r="AC15" s="12">
        <f>delta_v_normalisé!AC15*384748000/86400/27.321582</f>
        <v>0</v>
      </c>
      <c r="AD15" s="12">
        <f>delta_v_normalisé!AD15*384748000/86400/27.321582</f>
        <v>0</v>
      </c>
      <c r="AE15" s="12">
        <f>delta_v_normalisé!AE15*384748000/86400/27.321582</f>
        <v>0</v>
      </c>
      <c r="AF15" s="12">
        <f>delta_v_normalisé!AF15*384748000/86400/27.321582</f>
        <v>0</v>
      </c>
      <c r="AG15" s="12">
        <f>delta_v_normalisé!AG15*384748000/86400/27.321582</f>
        <v>0</v>
      </c>
      <c r="AH15" s="12">
        <f>delta_v_normalisé!AH15*384748000/86400/27.321582</f>
        <v>0</v>
      </c>
      <c r="AI15" s="12">
        <f>delta_v_normalisé!AI15*384748000/86400/27.321582</f>
        <v>0</v>
      </c>
      <c r="AJ15" s="12">
        <f>delta_v_normalisé!AJ15*384748000/86400/27.321582</f>
        <v>0</v>
      </c>
      <c r="AK15" s="12">
        <f>delta_v_normalisé!AK15*384748000/86400/27.321582</f>
        <v>0</v>
      </c>
      <c r="AL15" s="12">
        <f>delta_v_normalisé!AL15*384748000/86400/27.321582</f>
        <v>0</v>
      </c>
      <c r="AM15" s="12">
        <f>delta_v_normalisé!AM15*384748000/86400/27.321582</f>
        <v>0</v>
      </c>
      <c r="AN15" s="12">
        <f>delta_v_normalisé!AN15*384748000/86400/27.321582</f>
        <v>0</v>
      </c>
      <c r="AO15" s="12">
        <f>delta_v_normalisé!AO15*384748000/86400/27.321582</f>
        <v>0</v>
      </c>
      <c r="AP15" s="12">
        <f>delta_v_normalisé!AP15*384748000/86400/27.321582</f>
        <v>0</v>
      </c>
      <c r="AQ15" s="12">
        <f>delta_v_normalisé!AQ15*384748000/86400/27.321582</f>
        <v>0</v>
      </c>
      <c r="AR15" s="12">
        <f>delta_v_normalisé!AR15*384748000/86400/27.321582</f>
        <v>0</v>
      </c>
      <c r="AS15" s="12">
        <f>delta_v_normalisé!AS15*384748000/86400/27.321582</f>
        <v>0</v>
      </c>
      <c r="AT15" s="12">
        <f>delta_v_normalisé!AT15*384748000/86400/27.321582</f>
        <v>0</v>
      </c>
      <c r="AU15" s="12">
        <f>delta_v_normalisé!AU15*384748000/86400/27.321582</f>
        <v>0</v>
      </c>
      <c r="AV15" s="12">
        <f>delta_v_normalisé!AV15*384748000/86400/27.321582</f>
        <v>0</v>
      </c>
    </row>
    <row r="16" spans="1:54" x14ac:dyDescent="0.2">
      <c r="A16" s="12">
        <f>delta_v_normalisé!A16*384748000/86400/27.321582</f>
        <v>0</v>
      </c>
      <c r="B16" s="12">
        <f>delta_v_normalisé!B16*384748000/86400/27.321582</f>
        <v>0</v>
      </c>
      <c r="C16" s="12">
        <f>delta_v_normalisé!C16*384748000/86400/27.321582</f>
        <v>0</v>
      </c>
      <c r="D16" s="12">
        <f>delta_v_normalisé!D16*384748000/86400/27.321582</f>
        <v>0</v>
      </c>
      <c r="E16" s="12">
        <f>delta_v_normalisé!E16*384748000/86400/27.321582</f>
        <v>0</v>
      </c>
      <c r="F16" s="12">
        <f>delta_v_normalisé!F16*384748000/86400/27.321582</f>
        <v>0</v>
      </c>
      <c r="G16" s="12">
        <f>delta_v_normalisé!G16*384748000/86400/27.321582</f>
        <v>0</v>
      </c>
      <c r="H16" s="12">
        <f>delta_v_normalisé!H16*384748000/86400/27.321582</f>
        <v>0</v>
      </c>
      <c r="I16" s="12">
        <f>delta_v_normalisé!I16*384748000/86400/27.321582</f>
        <v>0</v>
      </c>
      <c r="J16" s="12">
        <f>delta_v_normalisé!J16*384748000/86400/27.321582</f>
        <v>0</v>
      </c>
      <c r="K16" s="12">
        <f>delta_v_normalisé!K16*384748000/86400/27.321582</f>
        <v>0</v>
      </c>
      <c r="L16" s="12">
        <f>delta_v_normalisé!L16*384748000/86400/27.321582</f>
        <v>0</v>
      </c>
      <c r="M16" s="12">
        <f>delta_v_normalisé!M16*384748000/86400/27.321582</f>
        <v>0</v>
      </c>
      <c r="N16" s="12">
        <f>delta_v_normalisé!N16*384748000/86400/27.321582</f>
        <v>292.68398739055806</v>
      </c>
      <c r="O16" s="12">
        <f>delta_v_normalisé!O16*384748000/86400/27.321582</f>
        <v>0</v>
      </c>
      <c r="P16" s="12">
        <f>delta_v_normalisé!P16*384748000/86400/27.321582</f>
        <v>0</v>
      </c>
      <c r="Q16" s="12">
        <f>delta_v_normalisé!Q16*384748000/86400/27.321582</f>
        <v>0</v>
      </c>
      <c r="R16" s="12">
        <f>delta_v_normalisé!R16*384748000/86400/27.321582</f>
        <v>0</v>
      </c>
      <c r="S16" s="12">
        <f>delta_v_normalisé!S16*384748000/86400/27.321582</f>
        <v>0</v>
      </c>
      <c r="T16" s="12">
        <f>delta_v_normalisé!T16*384748000/86400/27.321582</f>
        <v>0</v>
      </c>
      <c r="U16" s="12">
        <f>delta_v_normalisé!U16*384748000/86400/27.321582</f>
        <v>0</v>
      </c>
      <c r="V16" s="12">
        <f>delta_v_normalisé!V16*384748000/86400/27.321582</f>
        <v>0</v>
      </c>
      <c r="W16" s="12">
        <f>delta_v_normalisé!W16*384748000/86400/27.321582</f>
        <v>0</v>
      </c>
      <c r="X16" s="12">
        <f>delta_v_normalisé!X16*384748000/86400/27.321582</f>
        <v>0</v>
      </c>
      <c r="Y16" s="12">
        <f>delta_v_normalisé!Y16*384748000/86400/27.321582</f>
        <v>0</v>
      </c>
      <c r="Z16" s="12">
        <f>delta_v_normalisé!Z16*384748000/86400/27.321582</f>
        <v>0</v>
      </c>
      <c r="AA16" s="12">
        <f>delta_v_normalisé!AA16*384748000/86400/27.321582</f>
        <v>0</v>
      </c>
      <c r="AB16" s="12">
        <f>delta_v_normalisé!AB16*384748000/86400/27.321582</f>
        <v>0</v>
      </c>
      <c r="AC16" s="12">
        <f>delta_v_normalisé!AC16*384748000/86400/27.321582</f>
        <v>0</v>
      </c>
      <c r="AD16" s="12">
        <f>delta_v_normalisé!AD16*384748000/86400/27.321582</f>
        <v>0</v>
      </c>
      <c r="AE16" s="12">
        <f>delta_v_normalisé!AE16*384748000/86400/27.321582</f>
        <v>0</v>
      </c>
      <c r="AF16" s="12">
        <f>delta_v_normalisé!AF16*384748000/86400/27.321582</f>
        <v>0</v>
      </c>
      <c r="AG16" s="12">
        <f>delta_v_normalisé!AG16*384748000/86400/27.321582</f>
        <v>0</v>
      </c>
      <c r="AH16" s="12">
        <f>delta_v_normalisé!AH16*384748000/86400/27.321582</f>
        <v>0</v>
      </c>
      <c r="AI16" s="12">
        <f>delta_v_normalisé!AI16*384748000/86400/27.321582</f>
        <v>0</v>
      </c>
      <c r="AJ16" s="12">
        <f>delta_v_normalisé!AJ16*384748000/86400/27.321582</f>
        <v>0</v>
      </c>
      <c r="AK16" s="12">
        <f>delta_v_normalisé!AK16*384748000/86400/27.321582</f>
        <v>0</v>
      </c>
      <c r="AL16" s="12">
        <f>delta_v_normalisé!AL16*384748000/86400/27.321582</f>
        <v>0</v>
      </c>
      <c r="AM16" s="12">
        <f>delta_v_normalisé!AM16*384748000/86400/27.321582</f>
        <v>0</v>
      </c>
      <c r="AN16" s="12">
        <f>delta_v_normalisé!AN16*384748000/86400/27.321582</f>
        <v>0</v>
      </c>
      <c r="AO16" s="12">
        <f>delta_v_normalisé!AO16*384748000/86400/27.321582</f>
        <v>0</v>
      </c>
      <c r="AP16" s="12">
        <f>delta_v_normalisé!AP16*384748000/86400/27.321582</f>
        <v>0</v>
      </c>
      <c r="AQ16" s="12">
        <f>delta_v_normalisé!AQ16*384748000/86400/27.321582</f>
        <v>0</v>
      </c>
      <c r="AR16" s="12">
        <f>delta_v_normalisé!AR16*384748000/86400/27.321582</f>
        <v>0</v>
      </c>
      <c r="AS16" s="12">
        <f>delta_v_normalisé!AS16*384748000/86400/27.321582</f>
        <v>0</v>
      </c>
      <c r="AT16" s="12">
        <f>delta_v_normalisé!AT16*384748000/86400/27.321582</f>
        <v>0</v>
      </c>
      <c r="AU16" s="12">
        <f>delta_v_normalisé!AU16*384748000/86400/27.321582</f>
        <v>0</v>
      </c>
      <c r="AV16" s="12">
        <f>delta_v_normalisé!AV16*384748000/86400/27.321582</f>
        <v>0</v>
      </c>
    </row>
    <row r="17" spans="1:55" x14ac:dyDescent="0.2">
      <c r="A17" s="12">
        <f>delta_v_normalisé!A17*384748000/86400/27.321582</f>
        <v>0</v>
      </c>
      <c r="B17" s="12">
        <f>delta_v_normalisé!B17*384748000/86400/27.321582</f>
        <v>0</v>
      </c>
      <c r="C17" s="12">
        <f>delta_v_normalisé!C17*384748000/86400/27.321582</f>
        <v>0</v>
      </c>
      <c r="D17" s="12">
        <f>delta_v_normalisé!D17*384748000/86400/27.321582</f>
        <v>0</v>
      </c>
      <c r="E17" s="12">
        <f>delta_v_normalisé!E17*384748000/86400/27.321582</f>
        <v>0</v>
      </c>
      <c r="F17" s="12">
        <f>delta_v_normalisé!F17*384748000/86400/27.321582</f>
        <v>0</v>
      </c>
      <c r="G17" s="12">
        <f>delta_v_normalisé!G17*384748000/86400/27.321582</f>
        <v>0</v>
      </c>
      <c r="H17" s="12">
        <f>delta_v_normalisé!H17*384748000/86400/27.321582</f>
        <v>0</v>
      </c>
      <c r="I17" s="12">
        <f>delta_v_normalisé!I17*384748000/86400/27.321582</f>
        <v>0</v>
      </c>
      <c r="J17" s="12">
        <f>delta_v_normalisé!J17*384748000/86400/27.321582</f>
        <v>0</v>
      </c>
      <c r="K17" s="12">
        <f>delta_v_normalisé!K17*384748000/86400/27.321582</f>
        <v>0</v>
      </c>
      <c r="L17" s="12">
        <f>delta_v_normalisé!L17*384748000/86400/27.321582</f>
        <v>0</v>
      </c>
      <c r="M17" s="12">
        <f>delta_v_normalisé!M17*384748000/86400/27.321582</f>
        <v>0</v>
      </c>
      <c r="N17" s="12">
        <f>delta_v_normalisé!N17*384748000/86400/27.321582</f>
        <v>0</v>
      </c>
      <c r="O17" s="12">
        <f>delta_v_normalisé!O17*384748000/86400/27.321582</f>
        <v>291.94687903613891</v>
      </c>
      <c r="P17" s="12">
        <f>delta_v_normalisé!P17*384748000/86400/27.321582</f>
        <v>0</v>
      </c>
      <c r="Q17" s="12">
        <f>delta_v_normalisé!Q17*384748000/86400/27.321582</f>
        <v>0</v>
      </c>
      <c r="R17" s="12">
        <f>delta_v_normalisé!R17*384748000/86400/27.321582</f>
        <v>0</v>
      </c>
      <c r="S17" s="12">
        <f>delta_v_normalisé!S17*384748000/86400/27.321582</f>
        <v>0</v>
      </c>
      <c r="T17" s="12">
        <f>delta_v_normalisé!T17*384748000/86400/27.321582</f>
        <v>0</v>
      </c>
      <c r="U17" s="12">
        <f>delta_v_normalisé!U17*384748000/86400/27.321582</f>
        <v>0</v>
      </c>
      <c r="V17" s="12">
        <f>delta_v_normalisé!V17*384748000/86400/27.321582</f>
        <v>0</v>
      </c>
      <c r="W17" s="12">
        <f>delta_v_normalisé!W17*384748000/86400/27.321582</f>
        <v>0</v>
      </c>
      <c r="X17" s="12">
        <f>delta_v_normalisé!X17*384748000/86400/27.321582</f>
        <v>0</v>
      </c>
      <c r="Y17" s="12">
        <f>delta_v_normalisé!Y17*384748000/86400/27.321582</f>
        <v>0</v>
      </c>
      <c r="Z17" s="12">
        <f>delta_v_normalisé!Z17*384748000/86400/27.321582</f>
        <v>0</v>
      </c>
      <c r="AA17" s="12">
        <f>delta_v_normalisé!AA17*384748000/86400/27.321582</f>
        <v>0</v>
      </c>
      <c r="AB17" s="12">
        <f>delta_v_normalisé!AB17*384748000/86400/27.321582</f>
        <v>0</v>
      </c>
      <c r="AC17" s="12">
        <f>delta_v_normalisé!AC17*384748000/86400/27.321582</f>
        <v>0</v>
      </c>
      <c r="AD17" s="12">
        <f>delta_v_normalisé!AD17*384748000/86400/27.321582</f>
        <v>0</v>
      </c>
      <c r="AE17" s="12">
        <f>delta_v_normalisé!AE17*384748000/86400/27.321582</f>
        <v>0</v>
      </c>
      <c r="AF17" s="12">
        <f>delta_v_normalisé!AF17*384748000/86400/27.321582</f>
        <v>0</v>
      </c>
      <c r="AG17" s="12">
        <f>delta_v_normalisé!AG17*384748000/86400/27.321582</f>
        <v>0</v>
      </c>
      <c r="AH17" s="12">
        <f>delta_v_normalisé!AH17*384748000/86400/27.321582</f>
        <v>0</v>
      </c>
      <c r="AI17" s="12">
        <f>delta_v_normalisé!AI17*384748000/86400/27.321582</f>
        <v>0</v>
      </c>
      <c r="AJ17" s="12">
        <f>delta_v_normalisé!AJ17*384748000/86400/27.321582</f>
        <v>0</v>
      </c>
      <c r="AK17" s="12">
        <f>delta_v_normalisé!AK17*384748000/86400/27.321582</f>
        <v>0</v>
      </c>
      <c r="AL17" s="12">
        <f>delta_v_normalisé!AL17*384748000/86400/27.321582</f>
        <v>0</v>
      </c>
      <c r="AM17" s="12">
        <f>delta_v_normalisé!AM17*384748000/86400/27.321582</f>
        <v>0</v>
      </c>
      <c r="AN17" s="12">
        <f>delta_v_normalisé!AN17*384748000/86400/27.321582</f>
        <v>0</v>
      </c>
      <c r="AO17" s="12">
        <f>delta_v_normalisé!AO17*384748000/86400/27.321582</f>
        <v>0</v>
      </c>
      <c r="AP17" s="12">
        <f>delta_v_normalisé!AP17*384748000/86400/27.321582</f>
        <v>0</v>
      </c>
      <c r="AQ17" s="12">
        <f>delta_v_normalisé!AQ17*384748000/86400/27.321582</f>
        <v>0</v>
      </c>
      <c r="AR17" s="12">
        <f>delta_v_normalisé!AR17*384748000/86400/27.321582</f>
        <v>0</v>
      </c>
      <c r="AS17" s="12">
        <f>delta_v_normalisé!AS17*384748000/86400/27.321582</f>
        <v>0</v>
      </c>
      <c r="AT17" s="12">
        <f>delta_v_normalisé!AT17*384748000/86400/27.321582</f>
        <v>0</v>
      </c>
      <c r="AU17" s="12">
        <f>delta_v_normalisé!AU17*384748000/86400/27.321582</f>
        <v>0</v>
      </c>
      <c r="AV17" s="12">
        <f>delta_v_normalisé!AV17*384748000/86400/27.321582</f>
        <v>0</v>
      </c>
      <c r="AX17" s="2" t="s">
        <v>12</v>
      </c>
      <c r="AY17" s="2">
        <v>50</v>
      </c>
      <c r="AZ17" s="2" t="s">
        <v>13</v>
      </c>
      <c r="BA17" s="2" t="s">
        <v>14</v>
      </c>
      <c r="BB17" s="2">
        <v>40</v>
      </c>
      <c r="BC17" s="2" t="s">
        <v>13</v>
      </c>
    </row>
    <row r="18" spans="1:55" x14ac:dyDescent="0.2">
      <c r="A18" s="12">
        <f>delta_v_normalisé!A18*384748000/86400/27.321582</f>
        <v>0</v>
      </c>
      <c r="B18" s="12">
        <f>delta_v_normalisé!B18*384748000/86400/27.321582</f>
        <v>0</v>
      </c>
      <c r="C18" s="12">
        <f>delta_v_normalisé!C18*384748000/86400/27.321582</f>
        <v>0</v>
      </c>
      <c r="D18" s="12">
        <f>delta_v_normalisé!D18*384748000/86400/27.321582</f>
        <v>0</v>
      </c>
      <c r="E18" s="12">
        <f>delta_v_normalisé!E18*384748000/86400/27.321582</f>
        <v>0</v>
      </c>
      <c r="F18" s="12">
        <f>delta_v_normalisé!F18*384748000/86400/27.321582</f>
        <v>0</v>
      </c>
      <c r="G18" s="12">
        <f>delta_v_normalisé!G18*384748000/86400/27.321582</f>
        <v>0</v>
      </c>
      <c r="H18" s="12">
        <f>delta_v_normalisé!H18*384748000/86400/27.321582</f>
        <v>0</v>
      </c>
      <c r="I18" s="12">
        <f>delta_v_normalisé!I18*384748000/86400/27.321582</f>
        <v>0</v>
      </c>
      <c r="J18" s="12">
        <f>delta_v_normalisé!J18*384748000/86400/27.321582</f>
        <v>0</v>
      </c>
      <c r="K18" s="12">
        <f>delta_v_normalisé!K18*384748000/86400/27.321582</f>
        <v>0</v>
      </c>
      <c r="L18" s="12">
        <f>delta_v_normalisé!L18*384748000/86400/27.321582</f>
        <v>0</v>
      </c>
      <c r="M18" s="12">
        <f>delta_v_normalisé!M18*384748000/86400/27.321582</f>
        <v>0</v>
      </c>
      <c r="N18" s="12">
        <f>delta_v_normalisé!N18*384748000/86400/27.321582</f>
        <v>0</v>
      </c>
      <c r="O18" s="12">
        <f>delta_v_normalisé!O18*384748000/86400/27.321582</f>
        <v>0</v>
      </c>
      <c r="P18" s="12">
        <f>delta_v_normalisé!P18*384748000/86400/27.321582</f>
        <v>359.70540292648116</v>
      </c>
      <c r="Q18" s="12">
        <f>delta_v_normalisé!Q18*384748000/86400/27.321582</f>
        <v>0</v>
      </c>
      <c r="R18" s="12">
        <f>delta_v_normalisé!R18*384748000/86400/27.321582</f>
        <v>0</v>
      </c>
      <c r="S18" s="12">
        <f>delta_v_normalisé!S18*384748000/86400/27.321582</f>
        <v>0</v>
      </c>
      <c r="T18" s="12">
        <f>delta_v_normalisé!T18*384748000/86400/27.321582</f>
        <v>0</v>
      </c>
      <c r="U18" s="12">
        <f>delta_v_normalisé!U18*384748000/86400/27.321582</f>
        <v>0</v>
      </c>
      <c r="V18" s="12">
        <f>delta_v_normalisé!V18*384748000/86400/27.321582</f>
        <v>0</v>
      </c>
      <c r="W18" s="12">
        <f>delta_v_normalisé!W18*384748000/86400/27.321582</f>
        <v>0</v>
      </c>
      <c r="X18" s="12">
        <f>delta_v_normalisé!X18*384748000/86400/27.321582</f>
        <v>0</v>
      </c>
      <c r="Y18" s="12">
        <f>delta_v_normalisé!Y18*384748000/86400/27.321582</f>
        <v>0</v>
      </c>
      <c r="Z18" s="12">
        <f>delta_v_normalisé!Z18*384748000/86400/27.321582</f>
        <v>0</v>
      </c>
      <c r="AA18" s="12">
        <f>delta_v_normalisé!AA18*384748000/86400/27.321582</f>
        <v>0</v>
      </c>
      <c r="AB18" s="12">
        <f>delta_v_normalisé!AB18*384748000/86400/27.321582</f>
        <v>0</v>
      </c>
      <c r="AC18" s="12">
        <f>delta_v_normalisé!AC18*384748000/86400/27.321582</f>
        <v>0</v>
      </c>
      <c r="AD18" s="12">
        <f>delta_v_normalisé!AD18*384748000/86400/27.321582</f>
        <v>0</v>
      </c>
      <c r="AE18" s="12">
        <f>delta_v_normalisé!AE18*384748000/86400/27.321582</f>
        <v>0</v>
      </c>
      <c r="AF18" s="12">
        <f>delta_v_normalisé!AF18*384748000/86400/27.321582</f>
        <v>0</v>
      </c>
      <c r="AG18" s="12">
        <f>delta_v_normalisé!AG18*384748000/86400/27.321582</f>
        <v>0</v>
      </c>
      <c r="AH18" s="12">
        <f>delta_v_normalisé!AH18*384748000/86400/27.321582</f>
        <v>0</v>
      </c>
      <c r="AI18" s="12">
        <f>delta_v_normalisé!AI18*384748000/86400/27.321582</f>
        <v>0</v>
      </c>
      <c r="AJ18" s="12">
        <f>delta_v_normalisé!AJ18*384748000/86400/27.321582</f>
        <v>0</v>
      </c>
      <c r="AK18" s="12">
        <f>delta_v_normalisé!AK18*384748000/86400/27.321582</f>
        <v>0</v>
      </c>
      <c r="AL18" s="12">
        <f>delta_v_normalisé!AL18*384748000/86400/27.321582</f>
        <v>0</v>
      </c>
      <c r="AM18" s="12">
        <f>delta_v_normalisé!AM18*384748000/86400/27.321582</f>
        <v>0</v>
      </c>
      <c r="AN18" s="12">
        <f>delta_v_normalisé!AN18*384748000/86400/27.321582</f>
        <v>0</v>
      </c>
      <c r="AO18" s="12">
        <f>delta_v_normalisé!AO18*384748000/86400/27.321582</f>
        <v>0</v>
      </c>
      <c r="AP18" s="12">
        <f>delta_v_normalisé!AP18*384748000/86400/27.321582</f>
        <v>0</v>
      </c>
      <c r="AQ18" s="12">
        <f>delta_v_normalisé!AQ18*384748000/86400/27.321582</f>
        <v>0</v>
      </c>
      <c r="AR18" s="12">
        <f>delta_v_normalisé!AR18*384748000/86400/27.321582</f>
        <v>0</v>
      </c>
      <c r="AS18" s="12">
        <f>delta_v_normalisé!AS18*384748000/86400/27.321582</f>
        <v>0</v>
      </c>
      <c r="AT18" s="12">
        <f>delta_v_normalisé!AT18*384748000/86400/27.321582</f>
        <v>0</v>
      </c>
      <c r="AU18" s="12">
        <f>delta_v_normalisé!AU18*384748000/86400/27.321582</f>
        <v>0</v>
      </c>
      <c r="AV18" s="12">
        <f>delta_v_normalisé!AV18*384748000/86400/27.321582</f>
        <v>0</v>
      </c>
    </row>
    <row r="19" spans="1:55" x14ac:dyDescent="0.2">
      <c r="A19" s="12">
        <f>delta_v_normalisé!A19*384748000/86400/27.321582</f>
        <v>0</v>
      </c>
      <c r="B19" s="12">
        <f>delta_v_normalisé!B19*384748000/86400/27.321582</f>
        <v>0</v>
      </c>
      <c r="C19" s="12">
        <f>delta_v_normalisé!C19*384748000/86400/27.321582</f>
        <v>0</v>
      </c>
      <c r="D19" s="12">
        <f>delta_v_normalisé!D19*384748000/86400/27.321582</f>
        <v>0</v>
      </c>
      <c r="E19" s="12">
        <f>delta_v_normalisé!E19*384748000/86400/27.321582</f>
        <v>0</v>
      </c>
      <c r="F19" s="12">
        <f>delta_v_normalisé!F19*384748000/86400/27.321582</f>
        <v>0</v>
      </c>
      <c r="G19" s="12">
        <f>delta_v_normalisé!G19*384748000/86400/27.321582</f>
        <v>0</v>
      </c>
      <c r="H19" s="12">
        <f>delta_v_normalisé!H19*384748000/86400/27.321582</f>
        <v>0</v>
      </c>
      <c r="I19" s="12">
        <f>delta_v_normalisé!I19*384748000/86400/27.321582</f>
        <v>0</v>
      </c>
      <c r="J19" s="12">
        <f>delta_v_normalisé!J19*384748000/86400/27.321582</f>
        <v>0</v>
      </c>
      <c r="K19" s="12">
        <f>delta_v_normalisé!K19*384748000/86400/27.321582</f>
        <v>0</v>
      </c>
      <c r="L19" s="12">
        <f>delta_v_normalisé!L19*384748000/86400/27.321582</f>
        <v>0</v>
      </c>
      <c r="M19" s="12">
        <f>delta_v_normalisé!M19*384748000/86400/27.321582</f>
        <v>0</v>
      </c>
      <c r="N19" s="12">
        <f>delta_v_normalisé!N19*384748000/86400/27.321582</f>
        <v>0</v>
      </c>
      <c r="O19" s="12">
        <f>delta_v_normalisé!O19*384748000/86400/27.321582</f>
        <v>0</v>
      </c>
      <c r="P19" s="12">
        <f>delta_v_normalisé!P19*384748000/86400/27.321582</f>
        <v>0</v>
      </c>
      <c r="Q19" s="12">
        <f>delta_v_normalisé!Q19*384748000/86400/27.321582</f>
        <v>310.96769397640048</v>
      </c>
      <c r="R19" s="12">
        <f>delta_v_normalisé!R19*384748000/86400/27.321582</f>
        <v>0</v>
      </c>
      <c r="S19" s="12">
        <f>delta_v_normalisé!S19*384748000/86400/27.321582</f>
        <v>0</v>
      </c>
      <c r="T19" s="12">
        <f>delta_v_normalisé!T19*384748000/86400/27.321582</f>
        <v>0</v>
      </c>
      <c r="U19" s="12">
        <f>delta_v_normalisé!U19*384748000/86400/27.321582</f>
        <v>0</v>
      </c>
      <c r="V19" s="12">
        <f>delta_v_normalisé!V19*384748000/86400/27.321582</f>
        <v>0</v>
      </c>
      <c r="W19" s="12">
        <f>delta_v_normalisé!W19*384748000/86400/27.321582</f>
        <v>0</v>
      </c>
      <c r="X19" s="12">
        <f>delta_v_normalisé!X19*384748000/86400/27.321582</f>
        <v>0</v>
      </c>
      <c r="Y19" s="12">
        <f>delta_v_normalisé!Y19*384748000/86400/27.321582</f>
        <v>0</v>
      </c>
      <c r="Z19" s="12">
        <f>delta_v_normalisé!Z19*384748000/86400/27.321582</f>
        <v>0</v>
      </c>
      <c r="AA19" s="12">
        <f>delta_v_normalisé!AA19*384748000/86400/27.321582</f>
        <v>0</v>
      </c>
      <c r="AB19" s="12">
        <f>delta_v_normalisé!AB19*384748000/86400/27.321582</f>
        <v>0</v>
      </c>
      <c r="AC19" s="12">
        <f>delta_v_normalisé!AC19*384748000/86400/27.321582</f>
        <v>0</v>
      </c>
      <c r="AD19" s="12">
        <f>delta_v_normalisé!AD19*384748000/86400/27.321582</f>
        <v>0</v>
      </c>
      <c r="AE19" s="12">
        <f>delta_v_normalisé!AE19*384748000/86400/27.321582</f>
        <v>0</v>
      </c>
      <c r="AF19" s="12">
        <f>delta_v_normalisé!AF19*384748000/86400/27.321582</f>
        <v>0</v>
      </c>
      <c r="AG19" s="12">
        <f>delta_v_normalisé!AG19*384748000/86400/27.321582</f>
        <v>0</v>
      </c>
      <c r="AH19" s="12">
        <f>delta_v_normalisé!AH19*384748000/86400/27.321582</f>
        <v>0</v>
      </c>
      <c r="AI19" s="12">
        <f>delta_v_normalisé!AI19*384748000/86400/27.321582</f>
        <v>0</v>
      </c>
      <c r="AJ19" s="12">
        <f>delta_v_normalisé!AJ19*384748000/86400/27.321582</f>
        <v>0</v>
      </c>
      <c r="AK19" s="12">
        <f>delta_v_normalisé!AK19*384748000/86400/27.321582</f>
        <v>0</v>
      </c>
      <c r="AL19" s="12">
        <f>delta_v_normalisé!AL19*384748000/86400/27.321582</f>
        <v>0</v>
      </c>
      <c r="AM19" s="12">
        <f>delta_v_normalisé!AM19*384748000/86400/27.321582</f>
        <v>0</v>
      </c>
      <c r="AN19" s="12">
        <f>delta_v_normalisé!AN19*384748000/86400/27.321582</f>
        <v>0</v>
      </c>
      <c r="AO19" s="12">
        <f>delta_v_normalisé!AO19*384748000/86400/27.321582</f>
        <v>0</v>
      </c>
      <c r="AP19" s="12">
        <f>delta_v_normalisé!AP19*384748000/86400/27.321582</f>
        <v>0</v>
      </c>
      <c r="AQ19" s="12">
        <f>delta_v_normalisé!AQ19*384748000/86400/27.321582</f>
        <v>0</v>
      </c>
      <c r="AR19" s="12">
        <f>delta_v_normalisé!AR19*384748000/86400/27.321582</f>
        <v>0</v>
      </c>
      <c r="AS19" s="12">
        <f>delta_v_normalisé!AS19*384748000/86400/27.321582</f>
        <v>0</v>
      </c>
      <c r="AT19" s="12">
        <f>delta_v_normalisé!AT19*384748000/86400/27.321582</f>
        <v>0</v>
      </c>
      <c r="AU19" s="12">
        <f>delta_v_normalisé!AU19*384748000/86400/27.321582</f>
        <v>0</v>
      </c>
      <c r="AV19" s="12">
        <f>delta_v_normalisé!AV19*384748000/86400/27.321582</f>
        <v>0</v>
      </c>
    </row>
    <row r="20" spans="1:55" x14ac:dyDescent="0.2">
      <c r="A20" s="12">
        <f>delta_v_normalisé!A20*384748000/86400/27.321582</f>
        <v>0</v>
      </c>
      <c r="B20" s="12">
        <f>delta_v_normalisé!B20*384748000/86400/27.321582</f>
        <v>0</v>
      </c>
      <c r="C20" s="12">
        <f>delta_v_normalisé!C20*384748000/86400/27.321582</f>
        <v>0</v>
      </c>
      <c r="D20" s="12">
        <f>delta_v_normalisé!D20*384748000/86400/27.321582</f>
        <v>0</v>
      </c>
      <c r="E20" s="12">
        <f>delta_v_normalisé!E20*384748000/86400/27.321582</f>
        <v>0</v>
      </c>
      <c r="F20" s="12">
        <f>delta_v_normalisé!F20*384748000/86400/27.321582</f>
        <v>0</v>
      </c>
      <c r="G20" s="12">
        <f>delta_v_normalisé!G20*384748000/86400/27.321582</f>
        <v>0</v>
      </c>
      <c r="H20" s="12">
        <f>delta_v_normalisé!H20*384748000/86400/27.321582</f>
        <v>0</v>
      </c>
      <c r="I20" s="12">
        <f>delta_v_normalisé!I20*384748000/86400/27.321582</f>
        <v>0</v>
      </c>
      <c r="J20" s="12">
        <f>delta_v_normalisé!J20*384748000/86400/27.321582</f>
        <v>0</v>
      </c>
      <c r="K20" s="12">
        <f>delta_v_normalisé!K20*384748000/86400/27.321582</f>
        <v>0</v>
      </c>
      <c r="L20" s="12">
        <f>delta_v_normalisé!L20*384748000/86400/27.321582</f>
        <v>0</v>
      </c>
      <c r="M20" s="12">
        <f>delta_v_normalisé!M20*384748000/86400/27.321582</f>
        <v>0</v>
      </c>
      <c r="N20" s="12">
        <f>delta_v_normalisé!N20*384748000/86400/27.321582</f>
        <v>0</v>
      </c>
      <c r="O20" s="12">
        <f>delta_v_normalisé!O20*384748000/86400/27.321582</f>
        <v>0</v>
      </c>
      <c r="P20" s="12">
        <f>delta_v_normalisé!P20*384748000/86400/27.321582</f>
        <v>0</v>
      </c>
      <c r="Q20" s="12">
        <f>delta_v_normalisé!Q20*384748000/86400/27.321582</f>
        <v>0</v>
      </c>
      <c r="R20" s="12">
        <f>delta_v_normalisé!R20*384748000/86400/27.321582</f>
        <v>447.57912838464591</v>
      </c>
      <c r="S20" s="12">
        <f>delta_v_normalisé!S20*384748000/86400/27.321582</f>
        <v>0</v>
      </c>
      <c r="T20" s="12">
        <f>delta_v_normalisé!T20*384748000/86400/27.321582</f>
        <v>0</v>
      </c>
      <c r="U20" s="12">
        <f>delta_v_normalisé!U20*384748000/86400/27.321582</f>
        <v>0</v>
      </c>
      <c r="V20" s="12">
        <f>delta_v_normalisé!V20*384748000/86400/27.321582</f>
        <v>0</v>
      </c>
      <c r="W20" s="12">
        <f>delta_v_normalisé!W20*384748000/86400/27.321582</f>
        <v>0</v>
      </c>
      <c r="X20" s="12">
        <f>delta_v_normalisé!X20*384748000/86400/27.321582</f>
        <v>0</v>
      </c>
      <c r="Y20" s="12">
        <f>delta_v_normalisé!Y20*384748000/86400/27.321582</f>
        <v>0</v>
      </c>
      <c r="Z20" s="12">
        <f>delta_v_normalisé!Z20*384748000/86400/27.321582</f>
        <v>0</v>
      </c>
      <c r="AA20" s="12">
        <f>delta_v_normalisé!AA20*384748000/86400/27.321582</f>
        <v>0</v>
      </c>
      <c r="AB20" s="12">
        <f>delta_v_normalisé!AB20*384748000/86400/27.321582</f>
        <v>0</v>
      </c>
      <c r="AC20" s="12">
        <f>delta_v_normalisé!AC20*384748000/86400/27.321582</f>
        <v>0</v>
      </c>
      <c r="AD20" s="12">
        <f>delta_v_normalisé!AD20*384748000/86400/27.321582</f>
        <v>0</v>
      </c>
      <c r="AE20" s="12">
        <f>delta_v_normalisé!AE20*384748000/86400/27.321582</f>
        <v>0</v>
      </c>
      <c r="AF20" s="12">
        <f>delta_v_normalisé!AF20*384748000/86400/27.321582</f>
        <v>0</v>
      </c>
      <c r="AG20" s="12">
        <f>delta_v_normalisé!AG20*384748000/86400/27.321582</f>
        <v>0</v>
      </c>
      <c r="AH20" s="12">
        <f>delta_v_normalisé!AH20*384748000/86400/27.321582</f>
        <v>0</v>
      </c>
      <c r="AI20" s="12">
        <f>delta_v_normalisé!AI20*384748000/86400/27.321582</f>
        <v>0</v>
      </c>
      <c r="AJ20" s="12">
        <f>delta_v_normalisé!AJ20*384748000/86400/27.321582</f>
        <v>0</v>
      </c>
      <c r="AK20" s="12">
        <f>delta_v_normalisé!AK20*384748000/86400/27.321582</f>
        <v>0</v>
      </c>
      <c r="AL20" s="12">
        <f>delta_v_normalisé!AL20*384748000/86400/27.321582</f>
        <v>0</v>
      </c>
      <c r="AM20" s="12">
        <f>delta_v_normalisé!AM20*384748000/86400/27.321582</f>
        <v>0</v>
      </c>
      <c r="AN20" s="12">
        <f>delta_v_normalisé!AN20*384748000/86400/27.321582</f>
        <v>0</v>
      </c>
      <c r="AO20" s="12">
        <f>delta_v_normalisé!AO20*384748000/86400/27.321582</f>
        <v>0</v>
      </c>
      <c r="AP20" s="12">
        <f>delta_v_normalisé!AP20*384748000/86400/27.321582</f>
        <v>0</v>
      </c>
      <c r="AQ20" s="12">
        <f>delta_v_normalisé!AQ20*384748000/86400/27.321582</f>
        <v>0</v>
      </c>
      <c r="AR20" s="12">
        <f>delta_v_normalisé!AR20*384748000/86400/27.321582</f>
        <v>0</v>
      </c>
      <c r="AS20" s="12">
        <f>delta_v_normalisé!AS20*384748000/86400/27.321582</f>
        <v>0</v>
      </c>
      <c r="AT20" s="12">
        <f>delta_v_normalisé!AT20*384748000/86400/27.321582</f>
        <v>0</v>
      </c>
      <c r="AU20" s="12">
        <f>delta_v_normalisé!AU20*384748000/86400/27.321582</f>
        <v>0</v>
      </c>
      <c r="AV20" s="12">
        <f>delta_v_normalisé!AV20*384748000/86400/27.321582</f>
        <v>0</v>
      </c>
    </row>
    <row r="21" spans="1:55" x14ac:dyDescent="0.2">
      <c r="A21" s="12">
        <f>delta_v_normalisé!A21*384748000/86400/27.321582</f>
        <v>0</v>
      </c>
      <c r="B21" s="12">
        <f>delta_v_normalisé!B21*384748000/86400/27.321582</f>
        <v>0</v>
      </c>
      <c r="C21" s="12">
        <f>delta_v_normalisé!C21*384748000/86400/27.321582</f>
        <v>0</v>
      </c>
      <c r="D21" s="12">
        <f>delta_v_normalisé!D21*384748000/86400/27.321582</f>
        <v>0</v>
      </c>
      <c r="E21" s="12">
        <f>delta_v_normalisé!E21*384748000/86400/27.321582</f>
        <v>0</v>
      </c>
      <c r="F21" s="12">
        <f>delta_v_normalisé!F21*384748000/86400/27.321582</f>
        <v>0</v>
      </c>
      <c r="G21" s="12">
        <f>delta_v_normalisé!G21*384748000/86400/27.321582</f>
        <v>0</v>
      </c>
      <c r="H21" s="12">
        <f>delta_v_normalisé!H21*384748000/86400/27.321582</f>
        <v>0</v>
      </c>
      <c r="I21" s="12">
        <f>delta_v_normalisé!I21*384748000/86400/27.321582</f>
        <v>0</v>
      </c>
      <c r="J21" s="12">
        <f>delta_v_normalisé!J21*384748000/86400/27.321582</f>
        <v>0</v>
      </c>
      <c r="K21" s="12">
        <f>delta_v_normalisé!K21*384748000/86400/27.321582</f>
        <v>0</v>
      </c>
      <c r="L21" s="12">
        <f>delta_v_normalisé!L21*384748000/86400/27.321582</f>
        <v>0</v>
      </c>
      <c r="M21" s="12">
        <f>delta_v_normalisé!M21*384748000/86400/27.321582</f>
        <v>0</v>
      </c>
      <c r="N21" s="12">
        <f>delta_v_normalisé!N21*384748000/86400/27.321582</f>
        <v>0</v>
      </c>
      <c r="O21" s="12">
        <f>delta_v_normalisé!O21*384748000/86400/27.321582</f>
        <v>0</v>
      </c>
      <c r="P21" s="12">
        <f>delta_v_normalisé!P21*384748000/86400/27.321582</f>
        <v>0</v>
      </c>
      <c r="Q21" s="12">
        <f>delta_v_normalisé!Q21*384748000/86400/27.321582</f>
        <v>0</v>
      </c>
      <c r="R21" s="12">
        <f>delta_v_normalisé!R21*384748000/86400/27.321582</f>
        <v>0</v>
      </c>
      <c r="S21" s="12">
        <f>delta_v_normalisé!S21*384748000/86400/27.321582</f>
        <v>320.07473740611408</v>
      </c>
      <c r="T21" s="12">
        <f>delta_v_normalisé!T21*384748000/86400/27.321582</f>
        <v>0</v>
      </c>
      <c r="U21" s="12">
        <f>delta_v_normalisé!U21*384748000/86400/27.321582</f>
        <v>0</v>
      </c>
      <c r="V21" s="12">
        <f>delta_v_normalisé!V21*384748000/86400/27.321582</f>
        <v>0</v>
      </c>
      <c r="W21" s="12">
        <f>delta_v_normalisé!W21*384748000/86400/27.321582</f>
        <v>0</v>
      </c>
      <c r="X21" s="12">
        <f>delta_v_normalisé!X21*384748000/86400/27.321582</f>
        <v>0</v>
      </c>
      <c r="Y21" s="12">
        <f>delta_v_normalisé!Y21*384748000/86400/27.321582</f>
        <v>0</v>
      </c>
      <c r="Z21" s="12">
        <f>delta_v_normalisé!Z21*384748000/86400/27.321582</f>
        <v>0</v>
      </c>
      <c r="AA21" s="12">
        <f>delta_v_normalisé!AA21*384748000/86400/27.321582</f>
        <v>0</v>
      </c>
      <c r="AB21" s="12">
        <f>delta_v_normalisé!AB21*384748000/86400/27.321582</f>
        <v>0</v>
      </c>
      <c r="AC21" s="12">
        <f>delta_v_normalisé!AC21*384748000/86400/27.321582</f>
        <v>0</v>
      </c>
      <c r="AD21" s="12">
        <f>delta_v_normalisé!AD21*384748000/86400/27.321582</f>
        <v>0</v>
      </c>
      <c r="AE21" s="12">
        <f>delta_v_normalisé!AE21*384748000/86400/27.321582</f>
        <v>0</v>
      </c>
      <c r="AF21" s="12">
        <f>delta_v_normalisé!AF21*384748000/86400/27.321582</f>
        <v>0</v>
      </c>
      <c r="AG21" s="12">
        <f>delta_v_normalisé!AG21*384748000/86400/27.321582</f>
        <v>0</v>
      </c>
      <c r="AH21" s="12">
        <f>delta_v_normalisé!AH21*384748000/86400/27.321582</f>
        <v>0</v>
      </c>
      <c r="AI21" s="12">
        <f>delta_v_normalisé!AI21*384748000/86400/27.321582</f>
        <v>0</v>
      </c>
      <c r="AJ21" s="12">
        <f>delta_v_normalisé!AJ21*384748000/86400/27.321582</f>
        <v>0</v>
      </c>
      <c r="AK21" s="12">
        <f>delta_v_normalisé!AK21*384748000/86400/27.321582</f>
        <v>0</v>
      </c>
      <c r="AL21" s="12">
        <f>delta_v_normalisé!AL21*384748000/86400/27.321582</f>
        <v>0</v>
      </c>
      <c r="AM21" s="12">
        <f>delta_v_normalisé!AM21*384748000/86400/27.321582</f>
        <v>0</v>
      </c>
      <c r="AN21" s="12">
        <f>delta_v_normalisé!AN21*384748000/86400/27.321582</f>
        <v>0</v>
      </c>
      <c r="AO21" s="12">
        <f>delta_v_normalisé!AO21*384748000/86400/27.321582</f>
        <v>0</v>
      </c>
      <c r="AP21" s="12">
        <f>delta_v_normalisé!AP21*384748000/86400/27.321582</f>
        <v>0</v>
      </c>
      <c r="AQ21" s="12">
        <f>delta_v_normalisé!AQ21*384748000/86400/27.321582</f>
        <v>0</v>
      </c>
      <c r="AR21" s="12">
        <f>delta_v_normalisé!AR21*384748000/86400/27.321582</f>
        <v>0</v>
      </c>
      <c r="AS21" s="12">
        <f>delta_v_normalisé!AS21*384748000/86400/27.321582</f>
        <v>0</v>
      </c>
      <c r="AT21" s="12">
        <f>delta_v_normalisé!AT21*384748000/86400/27.321582</f>
        <v>0</v>
      </c>
      <c r="AU21" s="12">
        <f>delta_v_normalisé!AU21*384748000/86400/27.321582</f>
        <v>0</v>
      </c>
      <c r="AV21" s="12">
        <f>delta_v_normalisé!AV21*384748000/86400/27.321582</f>
        <v>0</v>
      </c>
    </row>
    <row r="22" spans="1:55" x14ac:dyDescent="0.2">
      <c r="A22" s="12">
        <f>delta_v_normalisé!A22*384748000/86400/27.321582</f>
        <v>0</v>
      </c>
      <c r="B22" s="12">
        <f>delta_v_normalisé!B22*384748000/86400/27.321582</f>
        <v>0</v>
      </c>
      <c r="C22" s="12">
        <f>delta_v_normalisé!C22*384748000/86400/27.321582</f>
        <v>0</v>
      </c>
      <c r="D22" s="12">
        <f>delta_v_normalisé!D22*384748000/86400/27.321582</f>
        <v>0</v>
      </c>
      <c r="E22" s="12">
        <f>delta_v_normalisé!E22*384748000/86400/27.321582</f>
        <v>0</v>
      </c>
      <c r="F22" s="12">
        <f>delta_v_normalisé!F22*384748000/86400/27.321582</f>
        <v>0</v>
      </c>
      <c r="G22" s="12">
        <f>delta_v_normalisé!G22*384748000/86400/27.321582</f>
        <v>0</v>
      </c>
      <c r="H22" s="12">
        <f>delta_v_normalisé!H22*384748000/86400/27.321582</f>
        <v>0</v>
      </c>
      <c r="I22" s="12">
        <f>delta_v_normalisé!I22*384748000/86400/27.321582</f>
        <v>0</v>
      </c>
      <c r="J22" s="12">
        <f>delta_v_normalisé!J22*384748000/86400/27.321582</f>
        <v>0</v>
      </c>
      <c r="K22" s="12">
        <f>delta_v_normalisé!K22*384748000/86400/27.321582</f>
        <v>0</v>
      </c>
      <c r="L22" s="12">
        <f>delta_v_normalisé!L22*384748000/86400/27.321582</f>
        <v>0</v>
      </c>
      <c r="M22" s="12">
        <f>delta_v_normalisé!M22*384748000/86400/27.321582</f>
        <v>0</v>
      </c>
      <c r="N22" s="12">
        <f>delta_v_normalisé!N22*384748000/86400/27.321582</f>
        <v>0</v>
      </c>
      <c r="O22" s="12">
        <f>delta_v_normalisé!O22*384748000/86400/27.321582</f>
        <v>0</v>
      </c>
      <c r="P22" s="12">
        <f>delta_v_normalisé!P22*384748000/86400/27.321582</f>
        <v>0</v>
      </c>
      <c r="Q22" s="12">
        <f>delta_v_normalisé!Q22*384748000/86400/27.321582</f>
        <v>0</v>
      </c>
      <c r="R22" s="12">
        <f>delta_v_normalisé!R22*384748000/86400/27.321582</f>
        <v>0</v>
      </c>
      <c r="S22" s="12">
        <f>delta_v_normalisé!S22*384748000/86400/27.321582</f>
        <v>0</v>
      </c>
      <c r="T22" s="12">
        <f>delta_v_normalisé!T22*384748000/86400/27.321582</f>
        <v>511.58512080051577</v>
      </c>
      <c r="U22" s="12">
        <f>delta_v_normalisé!U22*384748000/86400/27.321582</f>
        <v>0</v>
      </c>
      <c r="V22" s="12">
        <f>delta_v_normalisé!V22*384748000/86400/27.321582</f>
        <v>0</v>
      </c>
      <c r="W22" s="12">
        <f>delta_v_normalisé!W22*384748000/86400/27.321582</f>
        <v>0</v>
      </c>
      <c r="X22" s="12">
        <f>delta_v_normalisé!X22*384748000/86400/27.321582</f>
        <v>0</v>
      </c>
      <c r="Y22" s="12">
        <f>delta_v_normalisé!Y22*384748000/86400/27.321582</f>
        <v>0</v>
      </c>
      <c r="Z22" s="12">
        <f>delta_v_normalisé!Z22*384748000/86400/27.321582</f>
        <v>0</v>
      </c>
      <c r="AA22" s="12">
        <f>delta_v_normalisé!AA22*384748000/86400/27.321582</f>
        <v>0</v>
      </c>
      <c r="AB22" s="12">
        <f>delta_v_normalisé!AB22*384748000/86400/27.321582</f>
        <v>0</v>
      </c>
      <c r="AC22" s="12">
        <f>delta_v_normalisé!AC22*384748000/86400/27.321582</f>
        <v>0</v>
      </c>
      <c r="AD22" s="12">
        <f>delta_v_normalisé!AD22*384748000/86400/27.321582</f>
        <v>0</v>
      </c>
      <c r="AE22" s="12">
        <f>delta_v_normalisé!AE22*384748000/86400/27.321582</f>
        <v>0</v>
      </c>
      <c r="AF22" s="12">
        <f>delta_v_normalisé!AF22*384748000/86400/27.321582</f>
        <v>0</v>
      </c>
      <c r="AG22" s="12">
        <f>delta_v_normalisé!AG22*384748000/86400/27.321582</f>
        <v>0</v>
      </c>
      <c r="AH22" s="12">
        <f>delta_v_normalisé!AH22*384748000/86400/27.321582</f>
        <v>0</v>
      </c>
      <c r="AI22" s="12">
        <f>delta_v_normalisé!AI22*384748000/86400/27.321582</f>
        <v>0</v>
      </c>
      <c r="AJ22" s="12">
        <f>delta_v_normalisé!AJ22*384748000/86400/27.321582</f>
        <v>0</v>
      </c>
      <c r="AK22" s="12">
        <f>delta_v_normalisé!AK22*384748000/86400/27.321582</f>
        <v>0</v>
      </c>
      <c r="AL22" s="12">
        <f>delta_v_normalisé!AL22*384748000/86400/27.321582</f>
        <v>0</v>
      </c>
      <c r="AM22" s="12">
        <f>delta_v_normalisé!AM22*384748000/86400/27.321582</f>
        <v>0</v>
      </c>
      <c r="AN22" s="12">
        <f>delta_v_normalisé!AN22*384748000/86400/27.321582</f>
        <v>0</v>
      </c>
      <c r="AO22" s="12">
        <f>delta_v_normalisé!AO22*384748000/86400/27.321582</f>
        <v>0</v>
      </c>
      <c r="AP22" s="12">
        <f>delta_v_normalisé!AP22*384748000/86400/27.321582</f>
        <v>0</v>
      </c>
      <c r="AQ22" s="12">
        <f>delta_v_normalisé!AQ22*384748000/86400/27.321582</f>
        <v>0</v>
      </c>
      <c r="AR22" s="12">
        <f>delta_v_normalisé!AR22*384748000/86400/27.321582</f>
        <v>0</v>
      </c>
      <c r="AS22" s="12">
        <f>delta_v_normalisé!AS22*384748000/86400/27.321582</f>
        <v>0</v>
      </c>
      <c r="AT22" s="12">
        <f>delta_v_normalisé!AT22*384748000/86400/27.321582</f>
        <v>0</v>
      </c>
      <c r="AU22" s="12">
        <f>delta_v_normalisé!AU22*384748000/86400/27.321582</f>
        <v>0</v>
      </c>
      <c r="AV22" s="12">
        <f>delta_v_normalisé!AV22*384748000/86400/27.321582</f>
        <v>0</v>
      </c>
    </row>
    <row r="23" spans="1:55" x14ac:dyDescent="0.2">
      <c r="A23" s="12">
        <f>delta_v_normalisé!A23*384748000/86400/27.321582</f>
        <v>0</v>
      </c>
      <c r="B23" s="12">
        <f>delta_v_normalisé!B23*384748000/86400/27.321582</f>
        <v>0</v>
      </c>
      <c r="C23" s="12">
        <f>delta_v_normalisé!C23*384748000/86400/27.321582</f>
        <v>0</v>
      </c>
      <c r="D23" s="12">
        <f>delta_v_normalisé!D23*384748000/86400/27.321582</f>
        <v>0</v>
      </c>
      <c r="E23" s="12">
        <f>delta_v_normalisé!E23*384748000/86400/27.321582</f>
        <v>0</v>
      </c>
      <c r="F23" s="12">
        <f>delta_v_normalisé!F23*384748000/86400/27.321582</f>
        <v>0</v>
      </c>
      <c r="G23" s="12">
        <f>delta_v_normalisé!G23*384748000/86400/27.321582</f>
        <v>0</v>
      </c>
      <c r="H23" s="12">
        <f>delta_v_normalisé!H23*384748000/86400/27.321582</f>
        <v>0</v>
      </c>
      <c r="I23" s="12">
        <f>delta_v_normalisé!I23*384748000/86400/27.321582</f>
        <v>0</v>
      </c>
      <c r="J23" s="12">
        <f>delta_v_normalisé!J23*384748000/86400/27.321582</f>
        <v>0</v>
      </c>
      <c r="K23" s="12">
        <f>delta_v_normalisé!K23*384748000/86400/27.321582</f>
        <v>0</v>
      </c>
      <c r="L23" s="12">
        <f>delta_v_normalisé!L23*384748000/86400/27.321582</f>
        <v>0</v>
      </c>
      <c r="M23" s="12">
        <f>delta_v_normalisé!M23*384748000/86400/27.321582</f>
        <v>0</v>
      </c>
      <c r="N23" s="12">
        <f>delta_v_normalisé!N23*384748000/86400/27.321582</f>
        <v>0</v>
      </c>
      <c r="O23" s="12">
        <f>delta_v_normalisé!O23*384748000/86400/27.321582</f>
        <v>0</v>
      </c>
      <c r="P23" s="12">
        <f>delta_v_normalisé!P23*384748000/86400/27.321582</f>
        <v>0</v>
      </c>
      <c r="Q23" s="12">
        <f>delta_v_normalisé!Q23*384748000/86400/27.321582</f>
        <v>0</v>
      </c>
      <c r="R23" s="12">
        <f>delta_v_normalisé!R23*384748000/86400/27.321582</f>
        <v>0</v>
      </c>
      <c r="S23" s="12">
        <f>delta_v_normalisé!S23*384748000/86400/27.321582</f>
        <v>0</v>
      </c>
      <c r="T23" s="12">
        <f>delta_v_normalisé!T23*384748000/86400/27.321582</f>
        <v>0</v>
      </c>
      <c r="U23" s="12">
        <f>delta_v_normalisé!U23*384748000/86400/27.321582</f>
        <v>323.37526094631272</v>
      </c>
      <c r="V23" s="12">
        <f>delta_v_normalisé!V23*384748000/86400/27.321582</f>
        <v>0</v>
      </c>
      <c r="W23" s="12">
        <f>delta_v_normalisé!W23*384748000/86400/27.321582</f>
        <v>0</v>
      </c>
      <c r="X23" s="12">
        <f>delta_v_normalisé!X23*384748000/86400/27.321582</f>
        <v>0</v>
      </c>
      <c r="Y23" s="12">
        <f>delta_v_normalisé!Y23*384748000/86400/27.321582</f>
        <v>0</v>
      </c>
      <c r="Z23" s="12">
        <f>delta_v_normalisé!Z23*384748000/86400/27.321582</f>
        <v>0</v>
      </c>
      <c r="AA23" s="12">
        <f>delta_v_normalisé!AA23*384748000/86400/27.321582</f>
        <v>0</v>
      </c>
      <c r="AB23" s="12">
        <f>delta_v_normalisé!AB23*384748000/86400/27.321582</f>
        <v>0</v>
      </c>
      <c r="AC23" s="12">
        <f>delta_v_normalisé!AC23*384748000/86400/27.321582</f>
        <v>0</v>
      </c>
      <c r="AD23" s="12">
        <f>delta_v_normalisé!AD23*384748000/86400/27.321582</f>
        <v>0</v>
      </c>
      <c r="AE23" s="12">
        <f>delta_v_normalisé!AE23*384748000/86400/27.321582</f>
        <v>0</v>
      </c>
      <c r="AF23" s="12">
        <f>delta_v_normalisé!AF23*384748000/86400/27.321582</f>
        <v>0</v>
      </c>
      <c r="AG23" s="12">
        <f>delta_v_normalisé!AG23*384748000/86400/27.321582</f>
        <v>0</v>
      </c>
      <c r="AH23" s="12">
        <f>delta_v_normalisé!AH23*384748000/86400/27.321582</f>
        <v>0</v>
      </c>
      <c r="AI23" s="12">
        <f>delta_v_normalisé!AI23*384748000/86400/27.321582</f>
        <v>0</v>
      </c>
      <c r="AJ23" s="12">
        <f>delta_v_normalisé!AJ23*384748000/86400/27.321582</f>
        <v>0</v>
      </c>
      <c r="AK23" s="12">
        <f>delta_v_normalisé!AK23*384748000/86400/27.321582</f>
        <v>0</v>
      </c>
      <c r="AL23" s="12">
        <f>delta_v_normalisé!AL23*384748000/86400/27.321582</f>
        <v>0</v>
      </c>
      <c r="AM23" s="12">
        <f>delta_v_normalisé!AM23*384748000/86400/27.321582</f>
        <v>0</v>
      </c>
      <c r="AN23" s="12">
        <f>delta_v_normalisé!AN23*384748000/86400/27.321582</f>
        <v>0</v>
      </c>
      <c r="AO23" s="12">
        <f>delta_v_normalisé!AO23*384748000/86400/27.321582</f>
        <v>0</v>
      </c>
      <c r="AP23" s="12">
        <f>delta_v_normalisé!AP23*384748000/86400/27.321582</f>
        <v>0</v>
      </c>
      <c r="AQ23" s="12">
        <f>delta_v_normalisé!AQ23*384748000/86400/27.321582</f>
        <v>0</v>
      </c>
      <c r="AR23" s="12">
        <f>delta_v_normalisé!AR23*384748000/86400/27.321582</f>
        <v>0</v>
      </c>
      <c r="AS23" s="12">
        <f>delta_v_normalisé!AS23*384748000/86400/27.321582</f>
        <v>0</v>
      </c>
      <c r="AT23" s="12">
        <f>delta_v_normalisé!AT23*384748000/86400/27.321582</f>
        <v>0</v>
      </c>
      <c r="AU23" s="12">
        <f>delta_v_normalisé!AU23*384748000/86400/27.321582</f>
        <v>0</v>
      </c>
      <c r="AV23" s="12">
        <f>delta_v_normalisé!AV23*384748000/86400/27.321582</f>
        <v>0</v>
      </c>
    </row>
    <row r="24" spans="1:55" x14ac:dyDescent="0.2">
      <c r="A24" s="12">
        <f>delta_v_normalisé!A24*384748000/86400/27.321582</f>
        <v>0</v>
      </c>
      <c r="B24" s="12">
        <f>delta_v_normalisé!B24*384748000/86400/27.321582</f>
        <v>0</v>
      </c>
      <c r="C24" s="12">
        <f>delta_v_normalisé!C24*384748000/86400/27.321582</f>
        <v>0</v>
      </c>
      <c r="D24" s="12">
        <f>delta_v_normalisé!D24*384748000/86400/27.321582</f>
        <v>0</v>
      </c>
      <c r="E24" s="12">
        <f>delta_v_normalisé!E24*384748000/86400/27.321582</f>
        <v>0</v>
      </c>
      <c r="F24" s="12">
        <f>delta_v_normalisé!F24*384748000/86400/27.321582</f>
        <v>0</v>
      </c>
      <c r="G24" s="12">
        <f>delta_v_normalisé!G24*384748000/86400/27.321582</f>
        <v>0</v>
      </c>
      <c r="H24" s="12">
        <f>delta_v_normalisé!H24*384748000/86400/27.321582</f>
        <v>0</v>
      </c>
      <c r="I24" s="12">
        <f>delta_v_normalisé!I24*384748000/86400/27.321582</f>
        <v>0</v>
      </c>
      <c r="J24" s="12">
        <f>delta_v_normalisé!J24*384748000/86400/27.321582</f>
        <v>0</v>
      </c>
      <c r="K24" s="12">
        <f>delta_v_normalisé!K24*384748000/86400/27.321582</f>
        <v>0</v>
      </c>
      <c r="L24" s="12">
        <f>delta_v_normalisé!L24*384748000/86400/27.321582</f>
        <v>0</v>
      </c>
      <c r="M24" s="12">
        <f>delta_v_normalisé!M24*384748000/86400/27.321582</f>
        <v>0</v>
      </c>
      <c r="N24" s="12">
        <f>delta_v_normalisé!N24*384748000/86400/27.321582</f>
        <v>0</v>
      </c>
      <c r="O24" s="12">
        <f>delta_v_normalisé!O24*384748000/86400/27.321582</f>
        <v>0</v>
      </c>
      <c r="P24" s="12">
        <f>delta_v_normalisé!P24*384748000/86400/27.321582</f>
        <v>0</v>
      </c>
      <c r="Q24" s="12">
        <f>delta_v_normalisé!Q24*384748000/86400/27.321582</f>
        <v>0</v>
      </c>
      <c r="R24" s="12">
        <f>delta_v_normalisé!R24*384748000/86400/27.321582</f>
        <v>0</v>
      </c>
      <c r="S24" s="12">
        <f>delta_v_normalisé!S24*384748000/86400/27.321582</f>
        <v>0</v>
      </c>
      <c r="T24" s="12">
        <f>delta_v_normalisé!T24*384748000/86400/27.321582</f>
        <v>0</v>
      </c>
      <c r="U24" s="12">
        <f>delta_v_normalisé!U24*384748000/86400/27.321582</f>
        <v>0</v>
      </c>
      <c r="V24" s="12">
        <f>delta_v_normalisé!V24*384748000/86400/27.321582</f>
        <v>521.29844314201148</v>
      </c>
      <c r="W24" s="12">
        <f>delta_v_normalisé!W24*384748000/86400/27.321582</f>
        <v>0</v>
      </c>
      <c r="X24" s="12">
        <f>delta_v_normalisé!X24*384748000/86400/27.321582</f>
        <v>0</v>
      </c>
      <c r="Y24" s="12">
        <f>delta_v_normalisé!Y24*384748000/86400/27.321582</f>
        <v>0</v>
      </c>
      <c r="Z24" s="12">
        <f>delta_v_normalisé!Z24*384748000/86400/27.321582</f>
        <v>0</v>
      </c>
      <c r="AA24" s="12">
        <f>delta_v_normalisé!AA24*384748000/86400/27.321582</f>
        <v>0</v>
      </c>
      <c r="AB24" s="12">
        <f>delta_v_normalisé!AB24*384748000/86400/27.321582</f>
        <v>0</v>
      </c>
      <c r="AC24" s="12">
        <f>delta_v_normalisé!AC24*384748000/86400/27.321582</f>
        <v>0</v>
      </c>
      <c r="AD24" s="12">
        <f>delta_v_normalisé!AD24*384748000/86400/27.321582</f>
        <v>0</v>
      </c>
      <c r="AE24" s="12">
        <f>delta_v_normalisé!AE24*384748000/86400/27.321582</f>
        <v>0</v>
      </c>
      <c r="AF24" s="12">
        <f>delta_v_normalisé!AF24*384748000/86400/27.321582</f>
        <v>0</v>
      </c>
      <c r="AG24" s="12">
        <f>delta_v_normalisé!AG24*384748000/86400/27.321582</f>
        <v>0</v>
      </c>
      <c r="AH24" s="12">
        <f>delta_v_normalisé!AH24*384748000/86400/27.321582</f>
        <v>0</v>
      </c>
      <c r="AI24" s="12">
        <f>delta_v_normalisé!AI24*384748000/86400/27.321582</f>
        <v>0</v>
      </c>
      <c r="AJ24" s="12">
        <f>delta_v_normalisé!AJ24*384748000/86400/27.321582</f>
        <v>0</v>
      </c>
      <c r="AK24" s="12">
        <f>delta_v_normalisé!AK24*384748000/86400/27.321582</f>
        <v>0</v>
      </c>
      <c r="AL24" s="12">
        <f>delta_v_normalisé!AL24*384748000/86400/27.321582</f>
        <v>0</v>
      </c>
      <c r="AM24" s="12">
        <f>delta_v_normalisé!AM24*384748000/86400/27.321582</f>
        <v>0</v>
      </c>
      <c r="AN24" s="12">
        <f>delta_v_normalisé!AN24*384748000/86400/27.321582</f>
        <v>0</v>
      </c>
      <c r="AO24" s="12">
        <f>delta_v_normalisé!AO24*384748000/86400/27.321582</f>
        <v>0</v>
      </c>
      <c r="AP24" s="12">
        <f>delta_v_normalisé!AP24*384748000/86400/27.321582</f>
        <v>0</v>
      </c>
      <c r="AQ24" s="12">
        <f>delta_v_normalisé!AQ24*384748000/86400/27.321582</f>
        <v>0</v>
      </c>
      <c r="AR24" s="12">
        <f>delta_v_normalisé!AR24*384748000/86400/27.321582</f>
        <v>0</v>
      </c>
      <c r="AS24" s="12">
        <f>delta_v_normalisé!AS24*384748000/86400/27.321582</f>
        <v>0</v>
      </c>
      <c r="AT24" s="12">
        <f>delta_v_normalisé!AT24*384748000/86400/27.321582</f>
        <v>0</v>
      </c>
      <c r="AU24" s="12">
        <f>delta_v_normalisé!AU24*384748000/86400/27.321582</f>
        <v>0</v>
      </c>
      <c r="AV24" s="12">
        <f>delta_v_normalisé!AV24*384748000/86400/27.321582</f>
        <v>0</v>
      </c>
    </row>
    <row r="25" spans="1:55" x14ac:dyDescent="0.2">
      <c r="A25" s="12">
        <f>delta_v_normalisé!A25*384748000/86400/27.321582</f>
        <v>0</v>
      </c>
      <c r="B25" s="12">
        <f>delta_v_normalisé!B25*384748000/86400/27.321582</f>
        <v>0</v>
      </c>
      <c r="C25" s="12">
        <f>delta_v_normalisé!C25*384748000/86400/27.321582</f>
        <v>0</v>
      </c>
      <c r="D25" s="12">
        <f>delta_v_normalisé!D25*384748000/86400/27.321582</f>
        <v>0</v>
      </c>
      <c r="E25" s="12">
        <f>delta_v_normalisé!E25*384748000/86400/27.321582</f>
        <v>0</v>
      </c>
      <c r="F25" s="12">
        <f>delta_v_normalisé!F25*384748000/86400/27.321582</f>
        <v>0</v>
      </c>
      <c r="G25" s="12">
        <f>delta_v_normalisé!G25*384748000/86400/27.321582</f>
        <v>0</v>
      </c>
      <c r="H25" s="12">
        <f>delta_v_normalisé!H25*384748000/86400/27.321582</f>
        <v>0</v>
      </c>
      <c r="I25" s="12">
        <f>delta_v_normalisé!I25*384748000/86400/27.321582</f>
        <v>0</v>
      </c>
      <c r="J25" s="12">
        <f>delta_v_normalisé!J25*384748000/86400/27.321582</f>
        <v>0</v>
      </c>
      <c r="K25" s="12">
        <f>delta_v_normalisé!K25*384748000/86400/27.321582</f>
        <v>0</v>
      </c>
      <c r="L25" s="12">
        <f>delta_v_normalisé!L25*384748000/86400/27.321582</f>
        <v>0</v>
      </c>
      <c r="M25" s="12">
        <f>delta_v_normalisé!M25*384748000/86400/27.321582</f>
        <v>0</v>
      </c>
      <c r="N25" s="12">
        <f>delta_v_normalisé!N25*384748000/86400/27.321582</f>
        <v>0</v>
      </c>
      <c r="O25" s="12">
        <f>delta_v_normalisé!O25*384748000/86400/27.321582</f>
        <v>0</v>
      </c>
      <c r="P25" s="12">
        <f>delta_v_normalisé!P25*384748000/86400/27.321582</f>
        <v>0</v>
      </c>
      <c r="Q25" s="12">
        <f>delta_v_normalisé!Q25*384748000/86400/27.321582</f>
        <v>0</v>
      </c>
      <c r="R25" s="12">
        <f>delta_v_normalisé!R25*384748000/86400/27.321582</f>
        <v>0</v>
      </c>
      <c r="S25" s="12">
        <f>delta_v_normalisé!S25*384748000/86400/27.321582</f>
        <v>0</v>
      </c>
      <c r="T25" s="12">
        <f>delta_v_normalisé!T25*384748000/86400/27.321582</f>
        <v>0</v>
      </c>
      <c r="U25" s="12">
        <f>delta_v_normalisé!U25*384748000/86400/27.321582</f>
        <v>0</v>
      </c>
      <c r="V25" s="12">
        <f>delta_v_normalisé!V25*384748000/86400/27.321582</f>
        <v>0</v>
      </c>
      <c r="W25" s="12">
        <f>delta_v_normalisé!W25*384748000/86400/27.321582</f>
        <v>321.49153115942096</v>
      </c>
      <c r="X25" s="12">
        <f>delta_v_normalisé!X25*384748000/86400/27.321582</f>
        <v>0</v>
      </c>
      <c r="Y25" s="12">
        <f>delta_v_normalisé!Y25*384748000/86400/27.321582</f>
        <v>0</v>
      </c>
      <c r="Z25" s="12">
        <f>delta_v_normalisé!Z25*384748000/86400/27.321582</f>
        <v>0</v>
      </c>
      <c r="AA25" s="12">
        <f>delta_v_normalisé!AA25*384748000/86400/27.321582</f>
        <v>0</v>
      </c>
      <c r="AB25" s="12">
        <f>delta_v_normalisé!AB25*384748000/86400/27.321582</f>
        <v>0</v>
      </c>
      <c r="AC25" s="12">
        <f>delta_v_normalisé!AC25*384748000/86400/27.321582</f>
        <v>0</v>
      </c>
      <c r="AD25" s="12">
        <f>delta_v_normalisé!AD25*384748000/86400/27.321582</f>
        <v>0</v>
      </c>
      <c r="AE25" s="12">
        <f>delta_v_normalisé!AE25*384748000/86400/27.321582</f>
        <v>0</v>
      </c>
      <c r="AF25" s="12">
        <f>delta_v_normalisé!AF25*384748000/86400/27.321582</f>
        <v>0</v>
      </c>
      <c r="AG25" s="12">
        <f>delta_v_normalisé!AG25*384748000/86400/27.321582</f>
        <v>0</v>
      </c>
      <c r="AH25" s="12">
        <f>delta_v_normalisé!AH25*384748000/86400/27.321582</f>
        <v>0</v>
      </c>
      <c r="AI25" s="12">
        <f>delta_v_normalisé!AI25*384748000/86400/27.321582</f>
        <v>0</v>
      </c>
      <c r="AJ25" s="12">
        <f>delta_v_normalisé!AJ25*384748000/86400/27.321582</f>
        <v>0</v>
      </c>
      <c r="AK25" s="12">
        <f>delta_v_normalisé!AK25*384748000/86400/27.321582</f>
        <v>0</v>
      </c>
      <c r="AL25" s="12">
        <f>delta_v_normalisé!AL25*384748000/86400/27.321582</f>
        <v>0</v>
      </c>
      <c r="AM25" s="12">
        <f>delta_v_normalisé!AM25*384748000/86400/27.321582</f>
        <v>0</v>
      </c>
      <c r="AN25" s="12">
        <f>delta_v_normalisé!AN25*384748000/86400/27.321582</f>
        <v>0</v>
      </c>
      <c r="AO25" s="12">
        <f>delta_v_normalisé!AO25*384748000/86400/27.321582</f>
        <v>0</v>
      </c>
      <c r="AP25" s="12">
        <f>delta_v_normalisé!AP25*384748000/86400/27.321582</f>
        <v>0</v>
      </c>
      <c r="AQ25" s="12">
        <f>delta_v_normalisé!AQ25*384748000/86400/27.321582</f>
        <v>0</v>
      </c>
      <c r="AR25" s="12">
        <f>delta_v_normalisé!AR25*384748000/86400/27.321582</f>
        <v>0</v>
      </c>
      <c r="AS25" s="12">
        <f>delta_v_normalisé!AS25*384748000/86400/27.321582</f>
        <v>0</v>
      </c>
      <c r="AT25" s="12">
        <f>delta_v_normalisé!AT25*384748000/86400/27.321582</f>
        <v>0</v>
      </c>
      <c r="AU25" s="12">
        <f>delta_v_normalisé!AU25*384748000/86400/27.321582</f>
        <v>0</v>
      </c>
      <c r="AV25" s="12">
        <f>delta_v_normalisé!AV25*384748000/86400/27.321582</f>
        <v>0</v>
      </c>
    </row>
    <row r="26" spans="1:55" x14ac:dyDescent="0.2">
      <c r="A26" s="12">
        <f>delta_v_normalisé!A26*384748000/86400/27.321582</f>
        <v>0</v>
      </c>
      <c r="B26" s="12">
        <f>delta_v_normalisé!B26*384748000/86400/27.321582</f>
        <v>0</v>
      </c>
      <c r="C26" s="12">
        <f>delta_v_normalisé!C26*384748000/86400/27.321582</f>
        <v>0</v>
      </c>
      <c r="D26" s="12">
        <f>delta_v_normalisé!D26*384748000/86400/27.321582</f>
        <v>0</v>
      </c>
      <c r="E26" s="12">
        <f>delta_v_normalisé!E26*384748000/86400/27.321582</f>
        <v>0</v>
      </c>
      <c r="F26" s="12">
        <f>delta_v_normalisé!F26*384748000/86400/27.321582</f>
        <v>0</v>
      </c>
      <c r="G26" s="12">
        <f>delta_v_normalisé!G26*384748000/86400/27.321582</f>
        <v>0</v>
      </c>
      <c r="H26" s="12">
        <f>delta_v_normalisé!H26*384748000/86400/27.321582</f>
        <v>0</v>
      </c>
      <c r="I26" s="12">
        <f>delta_v_normalisé!I26*384748000/86400/27.321582</f>
        <v>0</v>
      </c>
      <c r="J26" s="12">
        <f>delta_v_normalisé!J26*384748000/86400/27.321582</f>
        <v>0</v>
      </c>
      <c r="K26" s="12">
        <f>delta_v_normalisé!K26*384748000/86400/27.321582</f>
        <v>0</v>
      </c>
      <c r="L26" s="12">
        <f>delta_v_normalisé!L26*384748000/86400/27.321582</f>
        <v>0</v>
      </c>
      <c r="M26" s="12">
        <f>delta_v_normalisé!M26*384748000/86400/27.321582</f>
        <v>0</v>
      </c>
      <c r="N26" s="12">
        <f>delta_v_normalisé!N26*384748000/86400/27.321582</f>
        <v>0</v>
      </c>
      <c r="O26" s="12">
        <f>delta_v_normalisé!O26*384748000/86400/27.321582</f>
        <v>0</v>
      </c>
      <c r="P26" s="12">
        <f>delta_v_normalisé!P26*384748000/86400/27.321582</f>
        <v>0</v>
      </c>
      <c r="Q26" s="12">
        <f>delta_v_normalisé!Q26*384748000/86400/27.321582</f>
        <v>0</v>
      </c>
      <c r="R26" s="12">
        <f>delta_v_normalisé!R26*384748000/86400/27.321582</f>
        <v>0</v>
      </c>
      <c r="S26" s="12">
        <f>delta_v_normalisé!S26*384748000/86400/27.321582</f>
        <v>0</v>
      </c>
      <c r="T26" s="12">
        <f>delta_v_normalisé!T26*384748000/86400/27.321582</f>
        <v>0</v>
      </c>
      <c r="U26" s="12">
        <f>delta_v_normalisé!U26*384748000/86400/27.321582</f>
        <v>0</v>
      </c>
      <c r="V26" s="12">
        <f>delta_v_normalisé!V26*384748000/86400/27.321582</f>
        <v>0</v>
      </c>
      <c r="W26" s="12">
        <f>delta_v_normalisé!W26*384748000/86400/27.321582</f>
        <v>0</v>
      </c>
      <c r="X26" s="12">
        <f>delta_v_normalisé!X26*384748000/86400/27.321582</f>
        <v>481.13032076928175</v>
      </c>
      <c r="Y26" s="12">
        <f>delta_v_normalisé!Y26*384748000/86400/27.321582</f>
        <v>0</v>
      </c>
      <c r="Z26" s="12">
        <f>delta_v_normalisé!Z26*384748000/86400/27.321582</f>
        <v>0</v>
      </c>
      <c r="AA26" s="12">
        <f>delta_v_normalisé!AA26*384748000/86400/27.321582</f>
        <v>0</v>
      </c>
      <c r="AB26" s="12">
        <f>delta_v_normalisé!AB26*384748000/86400/27.321582</f>
        <v>0</v>
      </c>
      <c r="AC26" s="12">
        <f>delta_v_normalisé!AC26*384748000/86400/27.321582</f>
        <v>0</v>
      </c>
      <c r="AD26" s="12">
        <f>delta_v_normalisé!AD26*384748000/86400/27.321582</f>
        <v>0</v>
      </c>
      <c r="AE26" s="12">
        <f>delta_v_normalisé!AE26*384748000/86400/27.321582</f>
        <v>0</v>
      </c>
      <c r="AF26" s="12">
        <f>delta_v_normalisé!AF26*384748000/86400/27.321582</f>
        <v>0</v>
      </c>
      <c r="AG26" s="12">
        <f>delta_v_normalisé!AG26*384748000/86400/27.321582</f>
        <v>0</v>
      </c>
      <c r="AH26" s="12">
        <f>delta_v_normalisé!AH26*384748000/86400/27.321582</f>
        <v>0</v>
      </c>
      <c r="AI26" s="12">
        <f>delta_v_normalisé!AI26*384748000/86400/27.321582</f>
        <v>0</v>
      </c>
      <c r="AJ26" s="12">
        <f>delta_v_normalisé!AJ26*384748000/86400/27.321582</f>
        <v>0</v>
      </c>
      <c r="AK26" s="12">
        <f>delta_v_normalisé!AK26*384748000/86400/27.321582</f>
        <v>0</v>
      </c>
      <c r="AL26" s="12">
        <f>delta_v_normalisé!AL26*384748000/86400/27.321582</f>
        <v>0</v>
      </c>
      <c r="AM26" s="12">
        <f>delta_v_normalisé!AM26*384748000/86400/27.321582</f>
        <v>0</v>
      </c>
      <c r="AN26" s="12">
        <f>delta_v_normalisé!AN26*384748000/86400/27.321582</f>
        <v>0</v>
      </c>
      <c r="AO26" s="12">
        <f>delta_v_normalisé!AO26*384748000/86400/27.321582</f>
        <v>0</v>
      </c>
      <c r="AP26" s="12">
        <f>delta_v_normalisé!AP26*384748000/86400/27.321582</f>
        <v>0</v>
      </c>
      <c r="AQ26" s="12">
        <f>delta_v_normalisé!AQ26*384748000/86400/27.321582</f>
        <v>0</v>
      </c>
      <c r="AR26" s="12">
        <f>delta_v_normalisé!AR26*384748000/86400/27.321582</f>
        <v>0</v>
      </c>
      <c r="AS26" s="12">
        <f>delta_v_normalisé!AS26*384748000/86400/27.321582</f>
        <v>0</v>
      </c>
      <c r="AT26" s="12">
        <f>delta_v_normalisé!AT26*384748000/86400/27.321582</f>
        <v>0</v>
      </c>
      <c r="AU26" s="12">
        <f>delta_v_normalisé!AU26*384748000/86400/27.321582</f>
        <v>0</v>
      </c>
      <c r="AV26" s="12">
        <f>delta_v_normalisé!AV26*384748000/86400/27.321582</f>
        <v>0</v>
      </c>
    </row>
    <row r="27" spans="1:55" x14ac:dyDescent="0.2">
      <c r="A27" s="12">
        <f>delta_v_normalisé!A27*384748000/86400/27.321582</f>
        <v>0</v>
      </c>
      <c r="B27" s="12">
        <f>delta_v_normalisé!B27*384748000/86400/27.321582</f>
        <v>0</v>
      </c>
      <c r="C27" s="12">
        <f>delta_v_normalisé!C27*384748000/86400/27.321582</f>
        <v>0</v>
      </c>
      <c r="D27" s="12">
        <f>delta_v_normalisé!D27*384748000/86400/27.321582</f>
        <v>0</v>
      </c>
      <c r="E27" s="12">
        <f>delta_v_normalisé!E27*384748000/86400/27.321582</f>
        <v>0</v>
      </c>
      <c r="F27" s="12">
        <f>delta_v_normalisé!F27*384748000/86400/27.321582</f>
        <v>0</v>
      </c>
      <c r="G27" s="12">
        <f>delta_v_normalisé!G27*384748000/86400/27.321582</f>
        <v>0</v>
      </c>
      <c r="H27" s="12">
        <f>delta_v_normalisé!H27*384748000/86400/27.321582</f>
        <v>0</v>
      </c>
      <c r="I27" s="12">
        <f>delta_v_normalisé!I27*384748000/86400/27.321582</f>
        <v>0</v>
      </c>
      <c r="J27" s="12">
        <f>delta_v_normalisé!J27*384748000/86400/27.321582</f>
        <v>0</v>
      </c>
      <c r="K27" s="12">
        <f>delta_v_normalisé!K27*384748000/86400/27.321582</f>
        <v>0</v>
      </c>
      <c r="L27" s="12">
        <f>delta_v_normalisé!L27*384748000/86400/27.321582</f>
        <v>0</v>
      </c>
      <c r="M27" s="12">
        <f>delta_v_normalisé!M27*384748000/86400/27.321582</f>
        <v>0</v>
      </c>
      <c r="N27" s="12">
        <f>delta_v_normalisé!N27*384748000/86400/27.321582</f>
        <v>0</v>
      </c>
      <c r="O27" s="12">
        <f>delta_v_normalisé!O27*384748000/86400/27.321582</f>
        <v>0</v>
      </c>
      <c r="P27" s="12">
        <f>delta_v_normalisé!P27*384748000/86400/27.321582</f>
        <v>0</v>
      </c>
      <c r="Q27" s="12">
        <f>delta_v_normalisé!Q27*384748000/86400/27.321582</f>
        <v>0</v>
      </c>
      <c r="R27" s="12">
        <f>delta_v_normalisé!R27*384748000/86400/27.321582</f>
        <v>0</v>
      </c>
      <c r="S27" s="12">
        <f>delta_v_normalisé!S27*384748000/86400/27.321582</f>
        <v>0</v>
      </c>
      <c r="T27" s="12">
        <f>delta_v_normalisé!T27*384748000/86400/27.321582</f>
        <v>0</v>
      </c>
      <c r="U27" s="12">
        <f>delta_v_normalisé!U27*384748000/86400/27.321582</f>
        <v>0</v>
      </c>
      <c r="V27" s="12">
        <f>delta_v_normalisé!V27*384748000/86400/27.321582</f>
        <v>0</v>
      </c>
      <c r="W27" s="12">
        <f>delta_v_normalisé!W27*384748000/86400/27.321582</f>
        <v>0</v>
      </c>
      <c r="X27" s="12">
        <f>delta_v_normalisé!X27*384748000/86400/27.321582</f>
        <v>0</v>
      </c>
      <c r="Y27" s="12">
        <f>delta_v_normalisé!Y27*384748000/86400/27.321582</f>
        <v>305.89093534043434</v>
      </c>
      <c r="Z27" s="12">
        <f>delta_v_normalisé!Z27*384748000/86400/27.321582</f>
        <v>0</v>
      </c>
      <c r="AA27" s="12">
        <f>delta_v_normalisé!AA27*384748000/86400/27.321582</f>
        <v>0</v>
      </c>
      <c r="AB27" s="12">
        <f>delta_v_normalisé!AB27*384748000/86400/27.321582</f>
        <v>0</v>
      </c>
      <c r="AC27" s="12">
        <f>delta_v_normalisé!AC27*384748000/86400/27.321582</f>
        <v>0</v>
      </c>
      <c r="AD27" s="12">
        <f>delta_v_normalisé!AD27*384748000/86400/27.321582</f>
        <v>0</v>
      </c>
      <c r="AE27" s="12">
        <f>delta_v_normalisé!AE27*384748000/86400/27.321582</f>
        <v>0</v>
      </c>
      <c r="AF27" s="12">
        <f>delta_v_normalisé!AF27*384748000/86400/27.321582</f>
        <v>0</v>
      </c>
      <c r="AG27" s="12">
        <f>delta_v_normalisé!AG27*384748000/86400/27.321582</f>
        <v>0</v>
      </c>
      <c r="AH27" s="12">
        <f>delta_v_normalisé!AH27*384748000/86400/27.321582</f>
        <v>0</v>
      </c>
      <c r="AI27" s="12">
        <f>delta_v_normalisé!AI27*384748000/86400/27.321582</f>
        <v>0</v>
      </c>
      <c r="AJ27" s="12">
        <f>delta_v_normalisé!AJ27*384748000/86400/27.321582</f>
        <v>0</v>
      </c>
      <c r="AK27" s="12">
        <f>delta_v_normalisé!AK27*384748000/86400/27.321582</f>
        <v>0</v>
      </c>
      <c r="AL27" s="12">
        <f>delta_v_normalisé!AL27*384748000/86400/27.321582</f>
        <v>0</v>
      </c>
      <c r="AM27" s="12">
        <f>delta_v_normalisé!AM27*384748000/86400/27.321582</f>
        <v>0</v>
      </c>
      <c r="AN27" s="12">
        <f>delta_v_normalisé!AN27*384748000/86400/27.321582</f>
        <v>0</v>
      </c>
      <c r="AO27" s="12">
        <f>delta_v_normalisé!AO27*384748000/86400/27.321582</f>
        <v>0</v>
      </c>
      <c r="AP27" s="12">
        <f>delta_v_normalisé!AP27*384748000/86400/27.321582</f>
        <v>0</v>
      </c>
      <c r="AQ27" s="12">
        <f>delta_v_normalisé!AQ27*384748000/86400/27.321582</f>
        <v>0</v>
      </c>
      <c r="AR27" s="12">
        <f>delta_v_normalisé!AR27*384748000/86400/27.321582</f>
        <v>0</v>
      </c>
      <c r="AS27" s="12">
        <f>delta_v_normalisé!AS27*384748000/86400/27.321582</f>
        <v>0</v>
      </c>
      <c r="AT27" s="12">
        <f>delta_v_normalisé!AT27*384748000/86400/27.321582</f>
        <v>0</v>
      </c>
      <c r="AU27" s="12">
        <f>delta_v_normalisé!AU27*384748000/86400/27.321582</f>
        <v>0</v>
      </c>
      <c r="AV27" s="12">
        <f>delta_v_normalisé!AV27*384748000/86400/27.321582</f>
        <v>0</v>
      </c>
    </row>
    <row r="28" spans="1:55" x14ac:dyDescent="0.2">
      <c r="A28" s="12">
        <f>delta_v_normalisé!A28*384748000/86400/27.321582</f>
        <v>0</v>
      </c>
      <c r="B28" s="12">
        <f>delta_v_normalisé!B28*384748000/86400/27.321582</f>
        <v>0</v>
      </c>
      <c r="C28" s="12">
        <f>delta_v_normalisé!C28*384748000/86400/27.321582</f>
        <v>0</v>
      </c>
      <c r="D28" s="12">
        <f>delta_v_normalisé!D28*384748000/86400/27.321582</f>
        <v>0</v>
      </c>
      <c r="E28" s="12">
        <f>delta_v_normalisé!E28*384748000/86400/27.321582</f>
        <v>0</v>
      </c>
      <c r="F28" s="12">
        <f>delta_v_normalisé!F28*384748000/86400/27.321582</f>
        <v>0</v>
      </c>
      <c r="G28" s="12">
        <f>delta_v_normalisé!G28*384748000/86400/27.321582</f>
        <v>0</v>
      </c>
      <c r="H28" s="12">
        <f>delta_v_normalisé!H28*384748000/86400/27.321582</f>
        <v>0</v>
      </c>
      <c r="I28" s="12">
        <f>delta_v_normalisé!I28*384748000/86400/27.321582</f>
        <v>0</v>
      </c>
      <c r="J28" s="12">
        <f>delta_v_normalisé!J28*384748000/86400/27.321582</f>
        <v>0</v>
      </c>
      <c r="K28" s="12">
        <f>delta_v_normalisé!K28*384748000/86400/27.321582</f>
        <v>0</v>
      </c>
      <c r="L28" s="12">
        <f>delta_v_normalisé!L28*384748000/86400/27.321582</f>
        <v>0</v>
      </c>
      <c r="M28" s="12">
        <f>delta_v_normalisé!M28*384748000/86400/27.321582</f>
        <v>0</v>
      </c>
      <c r="N28" s="12">
        <f>delta_v_normalisé!N28*384748000/86400/27.321582</f>
        <v>0</v>
      </c>
      <c r="O28" s="12">
        <f>delta_v_normalisé!O28*384748000/86400/27.321582</f>
        <v>0</v>
      </c>
      <c r="P28" s="12">
        <f>delta_v_normalisé!P28*384748000/86400/27.321582</f>
        <v>0</v>
      </c>
      <c r="Q28" s="12">
        <f>delta_v_normalisé!Q28*384748000/86400/27.321582</f>
        <v>0</v>
      </c>
      <c r="R28" s="12">
        <f>delta_v_normalisé!R28*384748000/86400/27.321582</f>
        <v>0</v>
      </c>
      <c r="S28" s="12">
        <f>delta_v_normalisé!S28*384748000/86400/27.321582</f>
        <v>0</v>
      </c>
      <c r="T28" s="12">
        <f>delta_v_normalisé!T28*384748000/86400/27.321582</f>
        <v>0</v>
      </c>
      <c r="U28" s="12">
        <f>delta_v_normalisé!U28*384748000/86400/27.321582</f>
        <v>0</v>
      </c>
      <c r="V28" s="12">
        <f>delta_v_normalisé!V28*384748000/86400/27.321582</f>
        <v>0</v>
      </c>
      <c r="W28" s="12">
        <f>delta_v_normalisé!W28*384748000/86400/27.321582</f>
        <v>0</v>
      </c>
      <c r="X28" s="12">
        <f>delta_v_normalisé!X28*384748000/86400/27.321582</f>
        <v>0</v>
      </c>
      <c r="Y28" s="12">
        <f>delta_v_normalisé!Y28*384748000/86400/27.321582</f>
        <v>0</v>
      </c>
      <c r="Z28" s="12">
        <f>delta_v_normalisé!Z28*384748000/86400/27.321582</f>
        <v>432.56926412607771</v>
      </c>
      <c r="AA28" s="12">
        <f>delta_v_normalisé!AA28*384748000/86400/27.321582</f>
        <v>0</v>
      </c>
      <c r="AB28" s="12">
        <f>delta_v_normalisé!AB28*384748000/86400/27.321582</f>
        <v>0</v>
      </c>
      <c r="AC28" s="12">
        <f>delta_v_normalisé!AC28*384748000/86400/27.321582</f>
        <v>0</v>
      </c>
      <c r="AD28" s="12">
        <f>delta_v_normalisé!AD28*384748000/86400/27.321582</f>
        <v>0</v>
      </c>
      <c r="AE28" s="12">
        <f>delta_v_normalisé!AE28*384748000/86400/27.321582</f>
        <v>0</v>
      </c>
      <c r="AF28" s="12">
        <f>delta_v_normalisé!AF28*384748000/86400/27.321582</f>
        <v>0</v>
      </c>
      <c r="AG28" s="12">
        <f>delta_v_normalisé!AG28*384748000/86400/27.321582</f>
        <v>0</v>
      </c>
      <c r="AH28" s="12">
        <f>delta_v_normalisé!AH28*384748000/86400/27.321582</f>
        <v>0</v>
      </c>
      <c r="AI28" s="12">
        <f>delta_v_normalisé!AI28*384748000/86400/27.321582</f>
        <v>0</v>
      </c>
      <c r="AJ28" s="12">
        <f>delta_v_normalisé!AJ28*384748000/86400/27.321582</f>
        <v>0</v>
      </c>
      <c r="AK28" s="12">
        <f>delta_v_normalisé!AK28*384748000/86400/27.321582</f>
        <v>0</v>
      </c>
      <c r="AL28" s="12">
        <f>delta_v_normalisé!AL28*384748000/86400/27.321582</f>
        <v>0</v>
      </c>
      <c r="AM28" s="12">
        <f>delta_v_normalisé!AM28*384748000/86400/27.321582</f>
        <v>0</v>
      </c>
      <c r="AN28" s="12">
        <f>delta_v_normalisé!AN28*384748000/86400/27.321582</f>
        <v>0</v>
      </c>
      <c r="AO28" s="12">
        <f>delta_v_normalisé!AO28*384748000/86400/27.321582</f>
        <v>0</v>
      </c>
      <c r="AP28" s="12">
        <f>delta_v_normalisé!AP28*384748000/86400/27.321582</f>
        <v>0</v>
      </c>
      <c r="AQ28" s="12">
        <f>delta_v_normalisé!AQ28*384748000/86400/27.321582</f>
        <v>0</v>
      </c>
      <c r="AR28" s="12">
        <f>delta_v_normalisé!AR28*384748000/86400/27.321582</f>
        <v>0</v>
      </c>
      <c r="AS28" s="12">
        <f>delta_v_normalisé!AS28*384748000/86400/27.321582</f>
        <v>0</v>
      </c>
      <c r="AT28" s="12">
        <f>delta_v_normalisé!AT28*384748000/86400/27.321582</f>
        <v>0</v>
      </c>
      <c r="AU28" s="12">
        <f>delta_v_normalisé!AU28*384748000/86400/27.321582</f>
        <v>0</v>
      </c>
      <c r="AV28" s="12">
        <f>delta_v_normalisé!AV28*384748000/86400/27.321582</f>
        <v>0</v>
      </c>
    </row>
    <row r="29" spans="1:55" x14ac:dyDescent="0.2">
      <c r="A29" s="12">
        <f>delta_v_normalisé!A29*384748000/86400/27.321582</f>
        <v>0</v>
      </c>
      <c r="B29" s="12">
        <f>delta_v_normalisé!B29*384748000/86400/27.321582</f>
        <v>0</v>
      </c>
      <c r="C29" s="12">
        <f>delta_v_normalisé!C29*384748000/86400/27.321582</f>
        <v>0</v>
      </c>
      <c r="D29" s="12">
        <f>delta_v_normalisé!D29*384748000/86400/27.321582</f>
        <v>0</v>
      </c>
      <c r="E29" s="12">
        <f>delta_v_normalisé!E29*384748000/86400/27.321582</f>
        <v>0</v>
      </c>
      <c r="F29" s="12">
        <f>delta_v_normalisé!F29*384748000/86400/27.321582</f>
        <v>0</v>
      </c>
      <c r="G29" s="12">
        <f>delta_v_normalisé!G29*384748000/86400/27.321582</f>
        <v>0</v>
      </c>
      <c r="H29" s="12">
        <f>delta_v_normalisé!H29*384748000/86400/27.321582</f>
        <v>0</v>
      </c>
      <c r="I29" s="12">
        <f>delta_v_normalisé!I29*384748000/86400/27.321582</f>
        <v>0</v>
      </c>
      <c r="J29" s="12">
        <f>delta_v_normalisé!J29*384748000/86400/27.321582</f>
        <v>0</v>
      </c>
      <c r="K29" s="12">
        <f>delta_v_normalisé!K29*384748000/86400/27.321582</f>
        <v>0</v>
      </c>
      <c r="L29" s="12">
        <f>delta_v_normalisé!L29*384748000/86400/27.321582</f>
        <v>0</v>
      </c>
      <c r="M29" s="12">
        <f>delta_v_normalisé!M29*384748000/86400/27.321582</f>
        <v>0</v>
      </c>
      <c r="N29" s="12">
        <f>delta_v_normalisé!N29*384748000/86400/27.321582</f>
        <v>0</v>
      </c>
      <c r="O29" s="12">
        <f>delta_v_normalisé!O29*384748000/86400/27.321582</f>
        <v>0</v>
      </c>
      <c r="P29" s="12">
        <f>delta_v_normalisé!P29*384748000/86400/27.321582</f>
        <v>0</v>
      </c>
      <c r="Q29" s="12">
        <f>delta_v_normalisé!Q29*384748000/86400/27.321582</f>
        <v>0</v>
      </c>
      <c r="R29" s="12">
        <f>delta_v_normalisé!R29*384748000/86400/27.321582</f>
        <v>0</v>
      </c>
      <c r="S29" s="12">
        <f>delta_v_normalisé!S29*384748000/86400/27.321582</f>
        <v>0</v>
      </c>
      <c r="T29" s="12">
        <f>delta_v_normalisé!T29*384748000/86400/27.321582</f>
        <v>0</v>
      </c>
      <c r="U29" s="12">
        <f>delta_v_normalisé!U29*384748000/86400/27.321582</f>
        <v>0</v>
      </c>
      <c r="V29" s="12">
        <f>delta_v_normalisé!V29*384748000/86400/27.321582</f>
        <v>0</v>
      </c>
      <c r="W29" s="12">
        <f>delta_v_normalisé!W29*384748000/86400/27.321582</f>
        <v>0</v>
      </c>
      <c r="X29" s="12">
        <f>delta_v_normalisé!X29*384748000/86400/27.321582</f>
        <v>0</v>
      </c>
      <c r="Y29" s="12">
        <f>delta_v_normalisé!Y29*384748000/86400/27.321582</f>
        <v>0</v>
      </c>
      <c r="Z29" s="12">
        <f>delta_v_normalisé!Z29*384748000/86400/27.321582</f>
        <v>0</v>
      </c>
      <c r="AA29" s="12">
        <f>delta_v_normalisé!AA29*384748000/86400/27.321582</f>
        <v>273.38066292524525</v>
      </c>
      <c r="AB29" s="12">
        <f>delta_v_normalisé!AB29*384748000/86400/27.321582</f>
        <v>0</v>
      </c>
      <c r="AC29" s="12">
        <f>delta_v_normalisé!AC29*384748000/86400/27.321582</f>
        <v>0</v>
      </c>
      <c r="AD29" s="12">
        <f>delta_v_normalisé!AD29*384748000/86400/27.321582</f>
        <v>0</v>
      </c>
      <c r="AE29" s="12">
        <f>delta_v_normalisé!AE29*384748000/86400/27.321582</f>
        <v>0</v>
      </c>
      <c r="AF29" s="12">
        <f>delta_v_normalisé!AF29*384748000/86400/27.321582</f>
        <v>0</v>
      </c>
      <c r="AG29" s="12">
        <f>delta_v_normalisé!AG29*384748000/86400/27.321582</f>
        <v>0</v>
      </c>
      <c r="AH29" s="12">
        <f>delta_v_normalisé!AH29*384748000/86400/27.321582</f>
        <v>0</v>
      </c>
      <c r="AI29" s="12">
        <f>delta_v_normalisé!AI29*384748000/86400/27.321582</f>
        <v>0</v>
      </c>
      <c r="AJ29" s="12">
        <f>delta_v_normalisé!AJ29*384748000/86400/27.321582</f>
        <v>0</v>
      </c>
      <c r="AK29" s="12">
        <f>delta_v_normalisé!AK29*384748000/86400/27.321582</f>
        <v>0</v>
      </c>
      <c r="AL29" s="12">
        <f>delta_v_normalisé!AL29*384748000/86400/27.321582</f>
        <v>0</v>
      </c>
      <c r="AM29" s="12">
        <f>delta_v_normalisé!AM29*384748000/86400/27.321582</f>
        <v>0</v>
      </c>
      <c r="AN29" s="12">
        <f>delta_v_normalisé!AN29*384748000/86400/27.321582</f>
        <v>0</v>
      </c>
      <c r="AO29" s="12">
        <f>delta_v_normalisé!AO29*384748000/86400/27.321582</f>
        <v>0</v>
      </c>
      <c r="AP29" s="12">
        <f>delta_v_normalisé!AP29*384748000/86400/27.321582</f>
        <v>0</v>
      </c>
      <c r="AQ29" s="12">
        <f>delta_v_normalisé!AQ29*384748000/86400/27.321582</f>
        <v>0</v>
      </c>
      <c r="AR29" s="12">
        <f>delta_v_normalisé!AR29*384748000/86400/27.321582</f>
        <v>0</v>
      </c>
      <c r="AS29" s="12">
        <f>delta_v_normalisé!AS29*384748000/86400/27.321582</f>
        <v>0</v>
      </c>
      <c r="AT29" s="12">
        <f>delta_v_normalisé!AT29*384748000/86400/27.321582</f>
        <v>0</v>
      </c>
      <c r="AU29" s="12">
        <f>delta_v_normalisé!AU29*384748000/86400/27.321582</f>
        <v>0</v>
      </c>
      <c r="AV29" s="12">
        <f>delta_v_normalisé!AV29*384748000/86400/27.321582</f>
        <v>0</v>
      </c>
    </row>
    <row r="30" spans="1:55" x14ac:dyDescent="0.2">
      <c r="A30" s="12">
        <f>delta_v_normalisé!A30*384748000/86400/27.321582</f>
        <v>0</v>
      </c>
      <c r="B30" s="12">
        <f>delta_v_normalisé!B30*384748000/86400/27.321582</f>
        <v>0</v>
      </c>
      <c r="C30" s="12">
        <f>delta_v_normalisé!C30*384748000/86400/27.321582</f>
        <v>0</v>
      </c>
      <c r="D30" s="12">
        <f>delta_v_normalisé!D30*384748000/86400/27.321582</f>
        <v>0</v>
      </c>
      <c r="E30" s="12">
        <f>delta_v_normalisé!E30*384748000/86400/27.321582</f>
        <v>0</v>
      </c>
      <c r="F30" s="12">
        <f>delta_v_normalisé!F30*384748000/86400/27.321582</f>
        <v>0</v>
      </c>
      <c r="G30" s="12">
        <f>delta_v_normalisé!G30*384748000/86400/27.321582</f>
        <v>0</v>
      </c>
      <c r="H30" s="12">
        <f>delta_v_normalisé!H30*384748000/86400/27.321582</f>
        <v>0</v>
      </c>
      <c r="I30" s="12">
        <f>delta_v_normalisé!I30*384748000/86400/27.321582</f>
        <v>0</v>
      </c>
      <c r="J30" s="12">
        <f>delta_v_normalisé!J30*384748000/86400/27.321582</f>
        <v>0</v>
      </c>
      <c r="K30" s="12">
        <f>delta_v_normalisé!K30*384748000/86400/27.321582</f>
        <v>0</v>
      </c>
      <c r="L30" s="12">
        <f>delta_v_normalisé!L30*384748000/86400/27.321582</f>
        <v>0</v>
      </c>
      <c r="M30" s="12">
        <f>delta_v_normalisé!M30*384748000/86400/27.321582</f>
        <v>0</v>
      </c>
      <c r="N30" s="12">
        <f>delta_v_normalisé!N30*384748000/86400/27.321582</f>
        <v>0</v>
      </c>
      <c r="O30" s="12">
        <f>delta_v_normalisé!O30*384748000/86400/27.321582</f>
        <v>0</v>
      </c>
      <c r="P30" s="12">
        <f>delta_v_normalisé!P30*384748000/86400/27.321582</f>
        <v>0</v>
      </c>
      <c r="Q30" s="12">
        <f>delta_v_normalisé!Q30*384748000/86400/27.321582</f>
        <v>0</v>
      </c>
      <c r="R30" s="12">
        <f>delta_v_normalisé!R30*384748000/86400/27.321582</f>
        <v>0</v>
      </c>
      <c r="S30" s="12">
        <f>delta_v_normalisé!S30*384748000/86400/27.321582</f>
        <v>0</v>
      </c>
      <c r="T30" s="12">
        <f>delta_v_normalisé!T30*384748000/86400/27.321582</f>
        <v>0</v>
      </c>
      <c r="U30" s="12">
        <f>delta_v_normalisé!U30*384748000/86400/27.321582</f>
        <v>0</v>
      </c>
      <c r="V30" s="12">
        <f>delta_v_normalisé!V30*384748000/86400/27.321582</f>
        <v>0</v>
      </c>
      <c r="W30" s="12">
        <f>delta_v_normalisé!W30*384748000/86400/27.321582</f>
        <v>0</v>
      </c>
      <c r="X30" s="12">
        <f>delta_v_normalisé!X30*384748000/86400/27.321582</f>
        <v>0</v>
      </c>
      <c r="Y30" s="12">
        <f>delta_v_normalisé!Y30*384748000/86400/27.321582</f>
        <v>0</v>
      </c>
      <c r="Z30" s="12">
        <f>delta_v_normalisé!Z30*384748000/86400/27.321582</f>
        <v>0</v>
      </c>
      <c r="AA30" s="12">
        <f>delta_v_normalisé!AA30*384748000/86400/27.321582</f>
        <v>0</v>
      </c>
      <c r="AB30" s="12">
        <f>delta_v_normalisé!AB30*384748000/86400/27.321582</f>
        <v>384.52028312829026</v>
      </c>
      <c r="AC30" s="12">
        <f>delta_v_normalisé!AC30*384748000/86400/27.321582</f>
        <v>0</v>
      </c>
      <c r="AD30" s="12">
        <f>delta_v_normalisé!AD30*384748000/86400/27.321582</f>
        <v>0</v>
      </c>
      <c r="AE30" s="12">
        <f>delta_v_normalisé!AE30*384748000/86400/27.321582</f>
        <v>0</v>
      </c>
      <c r="AF30" s="12">
        <f>delta_v_normalisé!AF30*384748000/86400/27.321582</f>
        <v>0</v>
      </c>
      <c r="AG30" s="12">
        <f>delta_v_normalisé!AG30*384748000/86400/27.321582</f>
        <v>0</v>
      </c>
      <c r="AH30" s="12">
        <f>delta_v_normalisé!AH30*384748000/86400/27.321582</f>
        <v>0</v>
      </c>
      <c r="AI30" s="12">
        <f>delta_v_normalisé!AI30*384748000/86400/27.321582</f>
        <v>0</v>
      </c>
      <c r="AJ30" s="12">
        <f>delta_v_normalisé!AJ30*384748000/86400/27.321582</f>
        <v>0</v>
      </c>
      <c r="AK30" s="12">
        <f>delta_v_normalisé!AK30*384748000/86400/27.321582</f>
        <v>0</v>
      </c>
      <c r="AL30" s="12">
        <f>delta_v_normalisé!AL30*384748000/86400/27.321582</f>
        <v>0</v>
      </c>
      <c r="AM30" s="12">
        <f>delta_v_normalisé!AM30*384748000/86400/27.321582</f>
        <v>0</v>
      </c>
      <c r="AN30" s="12">
        <f>delta_v_normalisé!AN30*384748000/86400/27.321582</f>
        <v>0</v>
      </c>
      <c r="AO30" s="12">
        <f>delta_v_normalisé!AO30*384748000/86400/27.321582</f>
        <v>0</v>
      </c>
      <c r="AP30" s="12">
        <f>delta_v_normalisé!AP30*384748000/86400/27.321582</f>
        <v>0</v>
      </c>
      <c r="AQ30" s="12">
        <f>delta_v_normalisé!AQ30*384748000/86400/27.321582</f>
        <v>0</v>
      </c>
      <c r="AR30" s="12">
        <f>delta_v_normalisé!AR30*384748000/86400/27.321582</f>
        <v>0</v>
      </c>
      <c r="AS30" s="12">
        <f>delta_v_normalisé!AS30*384748000/86400/27.321582</f>
        <v>0</v>
      </c>
      <c r="AT30" s="12">
        <f>delta_v_normalisé!AT30*384748000/86400/27.321582</f>
        <v>0</v>
      </c>
      <c r="AU30" s="12">
        <f>delta_v_normalisé!AU30*384748000/86400/27.321582</f>
        <v>0</v>
      </c>
      <c r="AV30" s="12">
        <f>delta_v_normalisé!AV30*384748000/86400/27.321582</f>
        <v>0</v>
      </c>
    </row>
    <row r="31" spans="1:55" x14ac:dyDescent="0.2">
      <c r="A31" s="12">
        <f>delta_v_normalisé!A31*384748000/86400/27.321582</f>
        <v>0</v>
      </c>
      <c r="B31" s="12">
        <f>delta_v_normalisé!B31*384748000/86400/27.321582</f>
        <v>0</v>
      </c>
      <c r="C31" s="12">
        <f>delta_v_normalisé!C31*384748000/86400/27.321582</f>
        <v>0</v>
      </c>
      <c r="D31" s="12">
        <f>delta_v_normalisé!D31*384748000/86400/27.321582</f>
        <v>0</v>
      </c>
      <c r="E31" s="12">
        <f>delta_v_normalisé!E31*384748000/86400/27.321582</f>
        <v>0</v>
      </c>
      <c r="F31" s="12">
        <f>delta_v_normalisé!F31*384748000/86400/27.321582</f>
        <v>0</v>
      </c>
      <c r="G31" s="12">
        <f>delta_v_normalisé!G31*384748000/86400/27.321582</f>
        <v>0</v>
      </c>
      <c r="H31" s="12">
        <f>delta_v_normalisé!H31*384748000/86400/27.321582</f>
        <v>0</v>
      </c>
      <c r="I31" s="12">
        <f>delta_v_normalisé!I31*384748000/86400/27.321582</f>
        <v>0</v>
      </c>
      <c r="J31" s="12">
        <f>delta_v_normalisé!J31*384748000/86400/27.321582</f>
        <v>0</v>
      </c>
      <c r="K31" s="12">
        <f>delta_v_normalisé!K31*384748000/86400/27.321582</f>
        <v>0</v>
      </c>
      <c r="L31" s="12">
        <f>delta_v_normalisé!L31*384748000/86400/27.321582</f>
        <v>0</v>
      </c>
      <c r="M31" s="12">
        <f>delta_v_normalisé!M31*384748000/86400/27.321582</f>
        <v>0</v>
      </c>
      <c r="N31" s="12">
        <f>delta_v_normalisé!N31*384748000/86400/27.321582</f>
        <v>0</v>
      </c>
      <c r="O31" s="12">
        <f>delta_v_normalisé!O31*384748000/86400/27.321582</f>
        <v>0</v>
      </c>
      <c r="P31" s="12">
        <f>delta_v_normalisé!P31*384748000/86400/27.321582</f>
        <v>0</v>
      </c>
      <c r="Q31" s="12">
        <f>delta_v_normalisé!Q31*384748000/86400/27.321582</f>
        <v>0</v>
      </c>
      <c r="R31" s="12">
        <f>delta_v_normalisé!R31*384748000/86400/27.321582</f>
        <v>0</v>
      </c>
      <c r="S31" s="12">
        <f>delta_v_normalisé!S31*384748000/86400/27.321582</f>
        <v>0</v>
      </c>
      <c r="T31" s="12">
        <f>delta_v_normalisé!T31*384748000/86400/27.321582</f>
        <v>0</v>
      </c>
      <c r="U31" s="12">
        <f>delta_v_normalisé!U31*384748000/86400/27.321582</f>
        <v>0</v>
      </c>
      <c r="V31" s="12">
        <f>delta_v_normalisé!V31*384748000/86400/27.321582</f>
        <v>0</v>
      </c>
      <c r="W31" s="12">
        <f>delta_v_normalisé!W31*384748000/86400/27.321582</f>
        <v>0</v>
      </c>
      <c r="X31" s="12">
        <f>delta_v_normalisé!X31*384748000/86400/27.321582</f>
        <v>0</v>
      </c>
      <c r="Y31" s="12">
        <f>delta_v_normalisé!Y31*384748000/86400/27.321582</f>
        <v>0</v>
      </c>
      <c r="Z31" s="12">
        <f>delta_v_normalisé!Z31*384748000/86400/27.321582</f>
        <v>0</v>
      </c>
      <c r="AA31" s="12">
        <f>delta_v_normalisé!AA31*384748000/86400/27.321582</f>
        <v>0</v>
      </c>
      <c r="AB31" s="12">
        <f>delta_v_normalisé!AB31*384748000/86400/27.321582</f>
        <v>0</v>
      </c>
      <c r="AC31" s="12">
        <f>delta_v_normalisé!AC31*384748000/86400/27.321582</f>
        <v>225.12210935151523</v>
      </c>
      <c r="AD31" s="12">
        <f>delta_v_normalisé!AD31*384748000/86400/27.321582</f>
        <v>0</v>
      </c>
      <c r="AE31" s="12">
        <f>delta_v_normalisé!AE31*384748000/86400/27.321582</f>
        <v>0</v>
      </c>
      <c r="AF31" s="12">
        <f>delta_v_normalisé!AF31*384748000/86400/27.321582</f>
        <v>0</v>
      </c>
      <c r="AG31" s="12">
        <f>delta_v_normalisé!AG31*384748000/86400/27.321582</f>
        <v>0</v>
      </c>
      <c r="AH31" s="12">
        <f>delta_v_normalisé!AH31*384748000/86400/27.321582</f>
        <v>0</v>
      </c>
      <c r="AI31" s="12">
        <f>delta_v_normalisé!AI31*384748000/86400/27.321582</f>
        <v>0</v>
      </c>
      <c r="AJ31" s="12">
        <f>delta_v_normalisé!AJ31*384748000/86400/27.321582</f>
        <v>0</v>
      </c>
      <c r="AK31" s="12">
        <f>delta_v_normalisé!AK31*384748000/86400/27.321582</f>
        <v>0</v>
      </c>
      <c r="AL31" s="12">
        <f>delta_v_normalisé!AL31*384748000/86400/27.321582</f>
        <v>0</v>
      </c>
      <c r="AM31" s="12">
        <f>delta_v_normalisé!AM31*384748000/86400/27.321582</f>
        <v>0</v>
      </c>
      <c r="AN31" s="12">
        <f>delta_v_normalisé!AN31*384748000/86400/27.321582</f>
        <v>0</v>
      </c>
      <c r="AO31" s="12">
        <f>delta_v_normalisé!AO31*384748000/86400/27.321582</f>
        <v>0</v>
      </c>
      <c r="AP31" s="12">
        <f>delta_v_normalisé!AP31*384748000/86400/27.321582</f>
        <v>0</v>
      </c>
      <c r="AQ31" s="12">
        <f>delta_v_normalisé!AQ31*384748000/86400/27.321582</f>
        <v>0</v>
      </c>
      <c r="AR31" s="12">
        <f>delta_v_normalisé!AR31*384748000/86400/27.321582</f>
        <v>0</v>
      </c>
      <c r="AS31" s="12">
        <f>delta_v_normalisé!AS31*384748000/86400/27.321582</f>
        <v>0</v>
      </c>
      <c r="AT31" s="12">
        <f>delta_v_normalisé!AT31*384748000/86400/27.321582</f>
        <v>0</v>
      </c>
      <c r="AU31" s="12">
        <f>delta_v_normalisé!AU31*384748000/86400/27.321582</f>
        <v>0</v>
      </c>
      <c r="AV31" s="12">
        <f>delta_v_normalisé!AV31*384748000/86400/27.321582</f>
        <v>0</v>
      </c>
    </row>
    <row r="32" spans="1:55" x14ac:dyDescent="0.2">
      <c r="A32" s="12">
        <f>delta_v_normalisé!A32*384748000/86400/27.321582</f>
        <v>0</v>
      </c>
      <c r="B32" s="12">
        <f>delta_v_normalisé!B32*384748000/86400/27.321582</f>
        <v>0</v>
      </c>
      <c r="C32" s="12">
        <f>delta_v_normalisé!C32*384748000/86400/27.321582</f>
        <v>0</v>
      </c>
      <c r="D32" s="12">
        <f>delta_v_normalisé!D32*384748000/86400/27.321582</f>
        <v>0</v>
      </c>
      <c r="E32" s="12">
        <f>delta_v_normalisé!E32*384748000/86400/27.321582</f>
        <v>0</v>
      </c>
      <c r="F32" s="12">
        <f>delta_v_normalisé!F32*384748000/86400/27.321582</f>
        <v>0</v>
      </c>
      <c r="G32" s="12">
        <f>delta_v_normalisé!G32*384748000/86400/27.321582</f>
        <v>0</v>
      </c>
      <c r="H32" s="12">
        <f>delta_v_normalisé!H32*384748000/86400/27.321582</f>
        <v>0</v>
      </c>
      <c r="I32" s="12">
        <f>delta_v_normalisé!I32*384748000/86400/27.321582</f>
        <v>0</v>
      </c>
      <c r="J32" s="12">
        <f>delta_v_normalisé!J32*384748000/86400/27.321582</f>
        <v>0</v>
      </c>
      <c r="K32" s="12">
        <f>delta_v_normalisé!K32*384748000/86400/27.321582</f>
        <v>0</v>
      </c>
      <c r="L32" s="12">
        <f>delta_v_normalisé!L32*384748000/86400/27.321582</f>
        <v>0</v>
      </c>
      <c r="M32" s="12">
        <f>delta_v_normalisé!M32*384748000/86400/27.321582</f>
        <v>0</v>
      </c>
      <c r="N32" s="12">
        <f>delta_v_normalisé!N32*384748000/86400/27.321582</f>
        <v>0</v>
      </c>
      <c r="O32" s="12">
        <f>delta_v_normalisé!O32*384748000/86400/27.321582</f>
        <v>0</v>
      </c>
      <c r="P32" s="12">
        <f>delta_v_normalisé!P32*384748000/86400/27.321582</f>
        <v>0</v>
      </c>
      <c r="Q32" s="12">
        <f>delta_v_normalisé!Q32*384748000/86400/27.321582</f>
        <v>0</v>
      </c>
      <c r="R32" s="12">
        <f>delta_v_normalisé!R32*384748000/86400/27.321582</f>
        <v>0</v>
      </c>
      <c r="S32" s="12">
        <f>delta_v_normalisé!S32*384748000/86400/27.321582</f>
        <v>0</v>
      </c>
      <c r="T32" s="12">
        <f>delta_v_normalisé!T32*384748000/86400/27.321582</f>
        <v>0</v>
      </c>
      <c r="U32" s="12">
        <f>delta_v_normalisé!U32*384748000/86400/27.321582</f>
        <v>0</v>
      </c>
      <c r="V32" s="12">
        <f>delta_v_normalisé!V32*384748000/86400/27.321582</f>
        <v>0</v>
      </c>
      <c r="W32" s="12">
        <f>delta_v_normalisé!W32*384748000/86400/27.321582</f>
        <v>0</v>
      </c>
      <c r="X32" s="12">
        <f>delta_v_normalisé!X32*384748000/86400/27.321582</f>
        <v>0</v>
      </c>
      <c r="Y32" s="12">
        <f>delta_v_normalisé!Y32*384748000/86400/27.321582</f>
        <v>0</v>
      </c>
      <c r="Z32" s="12">
        <f>delta_v_normalisé!Z32*384748000/86400/27.321582</f>
        <v>0</v>
      </c>
      <c r="AA32" s="12">
        <f>delta_v_normalisé!AA32*384748000/86400/27.321582</f>
        <v>0</v>
      </c>
      <c r="AB32" s="12">
        <f>delta_v_normalisé!AB32*384748000/86400/27.321582</f>
        <v>0</v>
      </c>
      <c r="AC32" s="12">
        <f>delta_v_normalisé!AC32*384748000/86400/27.321582</f>
        <v>0</v>
      </c>
      <c r="AD32" s="12">
        <f>delta_v_normalisé!AD32*384748000/86400/27.321582</f>
        <v>330.71957154271024</v>
      </c>
      <c r="AE32" s="12">
        <f>delta_v_normalisé!AE32*384748000/86400/27.321582</f>
        <v>0</v>
      </c>
      <c r="AF32" s="12">
        <f>delta_v_normalisé!AF32*384748000/86400/27.321582</f>
        <v>0</v>
      </c>
      <c r="AG32" s="12">
        <f>delta_v_normalisé!AG32*384748000/86400/27.321582</f>
        <v>0</v>
      </c>
      <c r="AH32" s="12">
        <f>delta_v_normalisé!AH32*384748000/86400/27.321582</f>
        <v>0</v>
      </c>
      <c r="AI32" s="12">
        <f>delta_v_normalisé!AI32*384748000/86400/27.321582</f>
        <v>0</v>
      </c>
      <c r="AJ32" s="12">
        <f>delta_v_normalisé!AJ32*384748000/86400/27.321582</f>
        <v>0</v>
      </c>
      <c r="AK32" s="12">
        <f>delta_v_normalisé!AK32*384748000/86400/27.321582</f>
        <v>0</v>
      </c>
      <c r="AL32" s="12">
        <f>delta_v_normalisé!AL32*384748000/86400/27.321582</f>
        <v>0</v>
      </c>
      <c r="AM32" s="12">
        <f>delta_v_normalisé!AM32*384748000/86400/27.321582</f>
        <v>0</v>
      </c>
      <c r="AN32" s="12">
        <f>delta_v_normalisé!AN32*384748000/86400/27.321582</f>
        <v>0</v>
      </c>
      <c r="AO32" s="12">
        <f>delta_v_normalisé!AO32*384748000/86400/27.321582</f>
        <v>0</v>
      </c>
      <c r="AP32" s="12">
        <f>delta_v_normalisé!AP32*384748000/86400/27.321582</f>
        <v>0</v>
      </c>
      <c r="AQ32" s="12">
        <f>delta_v_normalisé!AQ32*384748000/86400/27.321582</f>
        <v>0</v>
      </c>
      <c r="AR32" s="12">
        <f>delta_v_normalisé!AR32*384748000/86400/27.321582</f>
        <v>0</v>
      </c>
      <c r="AS32" s="12">
        <f>delta_v_normalisé!AS32*384748000/86400/27.321582</f>
        <v>0</v>
      </c>
      <c r="AT32" s="12">
        <f>delta_v_normalisé!AT32*384748000/86400/27.321582</f>
        <v>0</v>
      </c>
      <c r="AU32" s="12">
        <f>delta_v_normalisé!AU32*384748000/86400/27.321582</f>
        <v>0</v>
      </c>
      <c r="AV32" s="12">
        <f>delta_v_normalisé!AV32*384748000/86400/27.321582</f>
        <v>0</v>
      </c>
    </row>
    <row r="33" spans="1:48" x14ac:dyDescent="0.2">
      <c r="A33" s="12">
        <f>delta_v_normalisé!A33*384748000/86400/27.321582</f>
        <v>0</v>
      </c>
      <c r="B33" s="12">
        <f>delta_v_normalisé!B33*384748000/86400/27.321582</f>
        <v>0</v>
      </c>
      <c r="C33" s="12">
        <f>delta_v_normalisé!C33*384748000/86400/27.321582</f>
        <v>0</v>
      </c>
      <c r="D33" s="12">
        <f>delta_v_normalisé!D33*384748000/86400/27.321582</f>
        <v>0</v>
      </c>
      <c r="E33" s="12">
        <f>delta_v_normalisé!E33*384748000/86400/27.321582</f>
        <v>0</v>
      </c>
      <c r="F33" s="12">
        <f>delta_v_normalisé!F33*384748000/86400/27.321582</f>
        <v>0</v>
      </c>
      <c r="G33" s="12">
        <f>delta_v_normalisé!G33*384748000/86400/27.321582</f>
        <v>0</v>
      </c>
      <c r="H33" s="12">
        <f>delta_v_normalisé!H33*384748000/86400/27.321582</f>
        <v>0</v>
      </c>
      <c r="I33" s="12">
        <f>delta_v_normalisé!I33*384748000/86400/27.321582</f>
        <v>0</v>
      </c>
      <c r="J33" s="12">
        <f>delta_v_normalisé!J33*384748000/86400/27.321582</f>
        <v>0</v>
      </c>
      <c r="K33" s="12">
        <f>delta_v_normalisé!K33*384748000/86400/27.321582</f>
        <v>0</v>
      </c>
      <c r="L33" s="12">
        <f>delta_v_normalisé!L33*384748000/86400/27.321582</f>
        <v>0</v>
      </c>
      <c r="M33" s="12">
        <f>delta_v_normalisé!M33*384748000/86400/27.321582</f>
        <v>0</v>
      </c>
      <c r="N33" s="12">
        <f>delta_v_normalisé!N33*384748000/86400/27.321582</f>
        <v>0</v>
      </c>
      <c r="O33" s="12">
        <f>delta_v_normalisé!O33*384748000/86400/27.321582</f>
        <v>0</v>
      </c>
      <c r="P33" s="12">
        <f>delta_v_normalisé!P33*384748000/86400/27.321582</f>
        <v>0</v>
      </c>
      <c r="Q33" s="12">
        <f>delta_v_normalisé!Q33*384748000/86400/27.321582</f>
        <v>0</v>
      </c>
      <c r="R33" s="12">
        <f>delta_v_normalisé!R33*384748000/86400/27.321582</f>
        <v>0</v>
      </c>
      <c r="S33" s="12">
        <f>delta_v_normalisé!S33*384748000/86400/27.321582</f>
        <v>0</v>
      </c>
      <c r="T33" s="12">
        <f>delta_v_normalisé!T33*384748000/86400/27.321582</f>
        <v>0</v>
      </c>
      <c r="U33" s="12">
        <f>delta_v_normalisé!U33*384748000/86400/27.321582</f>
        <v>0</v>
      </c>
      <c r="V33" s="12">
        <f>delta_v_normalisé!V33*384748000/86400/27.321582</f>
        <v>0</v>
      </c>
      <c r="W33" s="12">
        <f>delta_v_normalisé!W33*384748000/86400/27.321582</f>
        <v>0</v>
      </c>
      <c r="X33" s="12">
        <f>delta_v_normalisé!X33*384748000/86400/27.321582</f>
        <v>0</v>
      </c>
      <c r="Y33" s="12">
        <f>delta_v_normalisé!Y33*384748000/86400/27.321582</f>
        <v>0</v>
      </c>
      <c r="Z33" s="12">
        <f>delta_v_normalisé!Z33*384748000/86400/27.321582</f>
        <v>0</v>
      </c>
      <c r="AA33" s="12">
        <f>delta_v_normalisé!AA33*384748000/86400/27.321582</f>
        <v>0</v>
      </c>
      <c r="AB33" s="12">
        <f>delta_v_normalisé!AB33*384748000/86400/27.321582</f>
        <v>0</v>
      </c>
      <c r="AC33" s="12">
        <f>delta_v_normalisé!AC33*384748000/86400/27.321582</f>
        <v>0</v>
      </c>
      <c r="AD33" s="12">
        <f>delta_v_normalisé!AD33*384748000/86400/27.321582</f>
        <v>0</v>
      </c>
      <c r="AE33" s="12">
        <f>delta_v_normalisé!AE33*384748000/86400/27.321582</f>
        <v>194.31045101150505</v>
      </c>
      <c r="AF33" s="12">
        <f>delta_v_normalisé!AF33*384748000/86400/27.321582</f>
        <v>0</v>
      </c>
      <c r="AG33" s="12">
        <f>delta_v_normalisé!AG33*384748000/86400/27.321582</f>
        <v>0</v>
      </c>
      <c r="AH33" s="12">
        <f>delta_v_normalisé!AH33*384748000/86400/27.321582</f>
        <v>0</v>
      </c>
      <c r="AI33" s="12">
        <f>delta_v_normalisé!AI33*384748000/86400/27.321582</f>
        <v>0</v>
      </c>
      <c r="AJ33" s="12">
        <f>delta_v_normalisé!AJ33*384748000/86400/27.321582</f>
        <v>0</v>
      </c>
      <c r="AK33" s="12">
        <f>delta_v_normalisé!AK33*384748000/86400/27.321582</f>
        <v>0</v>
      </c>
      <c r="AL33" s="12">
        <f>delta_v_normalisé!AL33*384748000/86400/27.321582</f>
        <v>0</v>
      </c>
      <c r="AM33" s="12">
        <f>delta_v_normalisé!AM33*384748000/86400/27.321582</f>
        <v>0</v>
      </c>
      <c r="AN33" s="12">
        <f>delta_v_normalisé!AN33*384748000/86400/27.321582</f>
        <v>0</v>
      </c>
      <c r="AO33" s="12">
        <f>delta_v_normalisé!AO33*384748000/86400/27.321582</f>
        <v>0</v>
      </c>
      <c r="AP33" s="12">
        <f>delta_v_normalisé!AP33*384748000/86400/27.321582</f>
        <v>0</v>
      </c>
      <c r="AQ33" s="12">
        <f>delta_v_normalisé!AQ33*384748000/86400/27.321582</f>
        <v>0</v>
      </c>
      <c r="AR33" s="12">
        <f>delta_v_normalisé!AR33*384748000/86400/27.321582</f>
        <v>0</v>
      </c>
      <c r="AS33" s="12">
        <f>delta_v_normalisé!AS33*384748000/86400/27.321582</f>
        <v>0</v>
      </c>
      <c r="AT33" s="12">
        <f>delta_v_normalisé!AT33*384748000/86400/27.321582</f>
        <v>0</v>
      </c>
      <c r="AU33" s="12">
        <f>delta_v_normalisé!AU33*384748000/86400/27.321582</f>
        <v>0</v>
      </c>
      <c r="AV33" s="12">
        <f>delta_v_normalisé!AV33*384748000/86400/27.321582</f>
        <v>0</v>
      </c>
    </row>
    <row r="34" spans="1:48" x14ac:dyDescent="0.2">
      <c r="A34" s="12">
        <f>delta_v_normalisé!A34*384748000/86400/27.321582</f>
        <v>0</v>
      </c>
      <c r="B34" s="12">
        <f>delta_v_normalisé!B34*384748000/86400/27.321582</f>
        <v>0</v>
      </c>
      <c r="C34" s="12">
        <f>delta_v_normalisé!C34*384748000/86400/27.321582</f>
        <v>0</v>
      </c>
      <c r="D34" s="12">
        <f>delta_v_normalisé!D34*384748000/86400/27.321582</f>
        <v>0</v>
      </c>
      <c r="E34" s="12">
        <f>delta_v_normalisé!E34*384748000/86400/27.321582</f>
        <v>0</v>
      </c>
      <c r="F34" s="12">
        <f>delta_v_normalisé!F34*384748000/86400/27.321582</f>
        <v>0</v>
      </c>
      <c r="G34" s="12">
        <f>delta_v_normalisé!G34*384748000/86400/27.321582</f>
        <v>0</v>
      </c>
      <c r="H34" s="12">
        <f>delta_v_normalisé!H34*384748000/86400/27.321582</f>
        <v>0</v>
      </c>
      <c r="I34" s="12">
        <f>delta_v_normalisé!I34*384748000/86400/27.321582</f>
        <v>0</v>
      </c>
      <c r="J34" s="12">
        <f>delta_v_normalisé!J34*384748000/86400/27.321582</f>
        <v>0</v>
      </c>
      <c r="K34" s="12">
        <f>delta_v_normalisé!K34*384748000/86400/27.321582</f>
        <v>0</v>
      </c>
      <c r="L34" s="12">
        <f>delta_v_normalisé!L34*384748000/86400/27.321582</f>
        <v>0</v>
      </c>
      <c r="M34" s="12">
        <f>delta_v_normalisé!M34*384748000/86400/27.321582</f>
        <v>0</v>
      </c>
      <c r="N34" s="12">
        <f>delta_v_normalisé!N34*384748000/86400/27.321582</f>
        <v>0</v>
      </c>
      <c r="O34" s="12">
        <f>delta_v_normalisé!O34*384748000/86400/27.321582</f>
        <v>0</v>
      </c>
      <c r="P34" s="12">
        <f>delta_v_normalisé!P34*384748000/86400/27.321582</f>
        <v>0</v>
      </c>
      <c r="Q34" s="12">
        <f>delta_v_normalisé!Q34*384748000/86400/27.321582</f>
        <v>0</v>
      </c>
      <c r="R34" s="12">
        <f>delta_v_normalisé!R34*384748000/86400/27.321582</f>
        <v>0</v>
      </c>
      <c r="S34" s="12">
        <f>delta_v_normalisé!S34*384748000/86400/27.321582</f>
        <v>0</v>
      </c>
      <c r="T34" s="12">
        <f>delta_v_normalisé!T34*384748000/86400/27.321582</f>
        <v>0</v>
      </c>
      <c r="U34" s="12">
        <f>delta_v_normalisé!U34*384748000/86400/27.321582</f>
        <v>0</v>
      </c>
      <c r="V34" s="12">
        <f>delta_v_normalisé!V34*384748000/86400/27.321582</f>
        <v>0</v>
      </c>
      <c r="W34" s="12">
        <f>delta_v_normalisé!W34*384748000/86400/27.321582</f>
        <v>0</v>
      </c>
      <c r="X34" s="12">
        <f>delta_v_normalisé!X34*384748000/86400/27.321582</f>
        <v>0</v>
      </c>
      <c r="Y34" s="12">
        <f>delta_v_normalisé!Y34*384748000/86400/27.321582</f>
        <v>0</v>
      </c>
      <c r="Z34" s="12">
        <f>delta_v_normalisé!Z34*384748000/86400/27.321582</f>
        <v>0</v>
      </c>
      <c r="AA34" s="12">
        <f>delta_v_normalisé!AA34*384748000/86400/27.321582</f>
        <v>0</v>
      </c>
      <c r="AB34" s="12">
        <f>delta_v_normalisé!AB34*384748000/86400/27.321582</f>
        <v>0</v>
      </c>
      <c r="AC34" s="12">
        <f>delta_v_normalisé!AC34*384748000/86400/27.321582</f>
        <v>0</v>
      </c>
      <c r="AD34" s="12">
        <f>delta_v_normalisé!AD34*384748000/86400/27.321582</f>
        <v>0</v>
      </c>
      <c r="AE34" s="12">
        <f>delta_v_normalisé!AE34*384748000/86400/27.321582</f>
        <v>0</v>
      </c>
      <c r="AF34" s="12">
        <f>delta_v_normalisé!AF34*384748000/86400/27.321582</f>
        <v>267.47714702265159</v>
      </c>
      <c r="AG34" s="12">
        <f>delta_v_normalisé!AG34*384748000/86400/27.321582</f>
        <v>0</v>
      </c>
      <c r="AH34" s="12">
        <f>delta_v_normalisé!AH34*384748000/86400/27.321582</f>
        <v>0</v>
      </c>
      <c r="AI34" s="12">
        <f>delta_v_normalisé!AI34*384748000/86400/27.321582</f>
        <v>0</v>
      </c>
      <c r="AJ34" s="12">
        <f>delta_v_normalisé!AJ34*384748000/86400/27.321582</f>
        <v>0</v>
      </c>
      <c r="AK34" s="12">
        <f>delta_v_normalisé!AK34*384748000/86400/27.321582</f>
        <v>0</v>
      </c>
      <c r="AL34" s="12">
        <f>delta_v_normalisé!AL34*384748000/86400/27.321582</f>
        <v>0</v>
      </c>
      <c r="AM34" s="12">
        <f>delta_v_normalisé!AM34*384748000/86400/27.321582</f>
        <v>0</v>
      </c>
      <c r="AN34" s="12">
        <f>delta_v_normalisé!AN34*384748000/86400/27.321582</f>
        <v>0</v>
      </c>
      <c r="AO34" s="12">
        <f>delta_v_normalisé!AO34*384748000/86400/27.321582</f>
        <v>0</v>
      </c>
      <c r="AP34" s="12">
        <f>delta_v_normalisé!AP34*384748000/86400/27.321582</f>
        <v>0</v>
      </c>
      <c r="AQ34" s="12">
        <f>delta_v_normalisé!AQ34*384748000/86400/27.321582</f>
        <v>0</v>
      </c>
      <c r="AR34" s="12">
        <f>delta_v_normalisé!AR34*384748000/86400/27.321582</f>
        <v>0</v>
      </c>
      <c r="AS34" s="12">
        <f>delta_v_normalisé!AS34*384748000/86400/27.321582</f>
        <v>0</v>
      </c>
      <c r="AT34" s="12">
        <f>delta_v_normalisé!AT34*384748000/86400/27.321582</f>
        <v>0</v>
      </c>
      <c r="AU34" s="12">
        <f>delta_v_normalisé!AU34*384748000/86400/27.321582</f>
        <v>0</v>
      </c>
      <c r="AV34" s="12">
        <f>delta_v_normalisé!AV34*384748000/86400/27.321582</f>
        <v>0</v>
      </c>
    </row>
    <row r="35" spans="1:48" x14ac:dyDescent="0.2">
      <c r="A35" s="12">
        <f>delta_v_normalisé!A35*384748000/86400/27.321582</f>
        <v>0</v>
      </c>
      <c r="B35" s="12">
        <f>delta_v_normalisé!B35*384748000/86400/27.321582</f>
        <v>0</v>
      </c>
      <c r="C35" s="12">
        <f>delta_v_normalisé!C35*384748000/86400/27.321582</f>
        <v>0</v>
      </c>
      <c r="D35" s="12">
        <f>delta_v_normalisé!D35*384748000/86400/27.321582</f>
        <v>0</v>
      </c>
      <c r="E35" s="12">
        <f>delta_v_normalisé!E35*384748000/86400/27.321582</f>
        <v>0</v>
      </c>
      <c r="F35" s="12">
        <f>delta_v_normalisé!F35*384748000/86400/27.321582</f>
        <v>0</v>
      </c>
      <c r="G35" s="12">
        <f>delta_v_normalisé!G35*384748000/86400/27.321582</f>
        <v>0</v>
      </c>
      <c r="H35" s="12">
        <f>delta_v_normalisé!H35*384748000/86400/27.321582</f>
        <v>0</v>
      </c>
      <c r="I35" s="12">
        <f>delta_v_normalisé!I35*384748000/86400/27.321582</f>
        <v>0</v>
      </c>
      <c r="J35" s="12">
        <f>delta_v_normalisé!J35*384748000/86400/27.321582</f>
        <v>0</v>
      </c>
      <c r="K35" s="12">
        <f>delta_v_normalisé!K35*384748000/86400/27.321582</f>
        <v>0</v>
      </c>
      <c r="L35" s="12">
        <f>delta_v_normalisé!L35*384748000/86400/27.321582</f>
        <v>0</v>
      </c>
      <c r="M35" s="12">
        <f>delta_v_normalisé!M35*384748000/86400/27.321582</f>
        <v>0</v>
      </c>
      <c r="N35" s="12">
        <f>delta_v_normalisé!N35*384748000/86400/27.321582</f>
        <v>0</v>
      </c>
      <c r="O35" s="12">
        <f>delta_v_normalisé!O35*384748000/86400/27.321582</f>
        <v>0</v>
      </c>
      <c r="P35" s="12">
        <f>delta_v_normalisé!P35*384748000/86400/27.321582</f>
        <v>0</v>
      </c>
      <c r="Q35" s="12">
        <f>delta_v_normalisé!Q35*384748000/86400/27.321582</f>
        <v>0</v>
      </c>
      <c r="R35" s="12">
        <f>delta_v_normalisé!R35*384748000/86400/27.321582</f>
        <v>0</v>
      </c>
      <c r="S35" s="12">
        <f>delta_v_normalisé!S35*384748000/86400/27.321582</f>
        <v>0</v>
      </c>
      <c r="T35" s="12">
        <f>delta_v_normalisé!T35*384748000/86400/27.321582</f>
        <v>0</v>
      </c>
      <c r="U35" s="12">
        <f>delta_v_normalisé!U35*384748000/86400/27.321582</f>
        <v>0</v>
      </c>
      <c r="V35" s="12">
        <f>delta_v_normalisé!V35*384748000/86400/27.321582</f>
        <v>0</v>
      </c>
      <c r="W35" s="12">
        <f>delta_v_normalisé!W35*384748000/86400/27.321582</f>
        <v>0</v>
      </c>
      <c r="X35" s="12">
        <f>delta_v_normalisé!X35*384748000/86400/27.321582</f>
        <v>0</v>
      </c>
      <c r="Y35" s="12">
        <f>delta_v_normalisé!Y35*384748000/86400/27.321582</f>
        <v>0</v>
      </c>
      <c r="Z35" s="12">
        <f>delta_v_normalisé!Z35*384748000/86400/27.321582</f>
        <v>0</v>
      </c>
      <c r="AA35" s="12">
        <f>delta_v_normalisé!AA35*384748000/86400/27.321582</f>
        <v>0</v>
      </c>
      <c r="AB35" s="12">
        <f>delta_v_normalisé!AB35*384748000/86400/27.321582</f>
        <v>0</v>
      </c>
      <c r="AC35" s="12">
        <f>delta_v_normalisé!AC35*384748000/86400/27.321582</f>
        <v>0</v>
      </c>
      <c r="AD35" s="12">
        <f>delta_v_normalisé!AD35*384748000/86400/27.321582</f>
        <v>0</v>
      </c>
      <c r="AE35" s="12">
        <f>delta_v_normalisé!AE35*384748000/86400/27.321582</f>
        <v>0</v>
      </c>
      <c r="AF35" s="12">
        <f>delta_v_normalisé!AF35*384748000/86400/27.321582</f>
        <v>0</v>
      </c>
      <c r="AG35" s="12">
        <f>delta_v_normalisé!AG35*384748000/86400/27.321582</f>
        <v>186.0806169009162</v>
      </c>
      <c r="AH35" s="12">
        <f>delta_v_normalisé!AH35*384748000/86400/27.321582</f>
        <v>0</v>
      </c>
      <c r="AI35" s="12">
        <f>delta_v_normalisé!AI35*384748000/86400/27.321582</f>
        <v>0</v>
      </c>
      <c r="AJ35" s="12">
        <f>delta_v_normalisé!AJ35*384748000/86400/27.321582</f>
        <v>0</v>
      </c>
      <c r="AK35" s="12">
        <f>delta_v_normalisé!AK35*384748000/86400/27.321582</f>
        <v>0</v>
      </c>
      <c r="AL35" s="12">
        <f>delta_v_normalisé!AL35*384748000/86400/27.321582</f>
        <v>0</v>
      </c>
      <c r="AM35" s="12">
        <f>delta_v_normalisé!AM35*384748000/86400/27.321582</f>
        <v>0</v>
      </c>
      <c r="AN35" s="12">
        <f>delta_v_normalisé!AN35*384748000/86400/27.321582</f>
        <v>0</v>
      </c>
      <c r="AO35" s="12">
        <f>delta_v_normalisé!AO35*384748000/86400/27.321582</f>
        <v>0</v>
      </c>
      <c r="AP35" s="12">
        <f>delta_v_normalisé!AP35*384748000/86400/27.321582</f>
        <v>0</v>
      </c>
      <c r="AQ35" s="12">
        <f>delta_v_normalisé!AQ35*384748000/86400/27.321582</f>
        <v>0</v>
      </c>
      <c r="AR35" s="12">
        <f>delta_v_normalisé!AR35*384748000/86400/27.321582</f>
        <v>0</v>
      </c>
      <c r="AS35" s="12">
        <f>delta_v_normalisé!AS35*384748000/86400/27.321582</f>
        <v>0</v>
      </c>
      <c r="AT35" s="12">
        <f>delta_v_normalisé!AT35*384748000/86400/27.321582</f>
        <v>0</v>
      </c>
      <c r="AU35" s="12">
        <f>delta_v_normalisé!AU35*384748000/86400/27.321582</f>
        <v>0</v>
      </c>
      <c r="AV35" s="12">
        <f>delta_v_normalisé!AV35*384748000/86400/27.321582</f>
        <v>0</v>
      </c>
    </row>
    <row r="36" spans="1:48" x14ac:dyDescent="0.2">
      <c r="A36" s="12">
        <f>delta_v_normalisé!A36*384748000/86400/27.321582</f>
        <v>0</v>
      </c>
      <c r="B36" s="12">
        <f>delta_v_normalisé!B36*384748000/86400/27.321582</f>
        <v>0</v>
      </c>
      <c r="C36" s="12">
        <f>delta_v_normalisé!C36*384748000/86400/27.321582</f>
        <v>0</v>
      </c>
      <c r="D36" s="12">
        <f>delta_v_normalisé!D36*384748000/86400/27.321582</f>
        <v>0</v>
      </c>
      <c r="E36" s="12">
        <f>delta_v_normalisé!E36*384748000/86400/27.321582</f>
        <v>0</v>
      </c>
      <c r="F36" s="12">
        <f>delta_v_normalisé!F36*384748000/86400/27.321582</f>
        <v>0</v>
      </c>
      <c r="G36" s="12">
        <f>delta_v_normalisé!G36*384748000/86400/27.321582</f>
        <v>0</v>
      </c>
      <c r="H36" s="12">
        <f>delta_v_normalisé!H36*384748000/86400/27.321582</f>
        <v>0</v>
      </c>
      <c r="I36" s="12">
        <f>delta_v_normalisé!I36*384748000/86400/27.321582</f>
        <v>0</v>
      </c>
      <c r="J36" s="12">
        <f>delta_v_normalisé!J36*384748000/86400/27.321582</f>
        <v>0</v>
      </c>
      <c r="K36" s="12">
        <f>delta_v_normalisé!K36*384748000/86400/27.321582</f>
        <v>0</v>
      </c>
      <c r="L36" s="12">
        <f>delta_v_normalisé!L36*384748000/86400/27.321582</f>
        <v>0</v>
      </c>
      <c r="M36" s="12">
        <f>delta_v_normalisé!M36*384748000/86400/27.321582</f>
        <v>0</v>
      </c>
      <c r="N36" s="12">
        <f>delta_v_normalisé!N36*384748000/86400/27.321582</f>
        <v>0</v>
      </c>
      <c r="O36" s="12">
        <f>delta_v_normalisé!O36*384748000/86400/27.321582</f>
        <v>0</v>
      </c>
      <c r="P36" s="12">
        <f>delta_v_normalisé!P36*384748000/86400/27.321582</f>
        <v>0</v>
      </c>
      <c r="Q36" s="12">
        <f>delta_v_normalisé!Q36*384748000/86400/27.321582</f>
        <v>0</v>
      </c>
      <c r="R36" s="12">
        <f>delta_v_normalisé!R36*384748000/86400/27.321582</f>
        <v>0</v>
      </c>
      <c r="S36" s="12">
        <f>delta_v_normalisé!S36*384748000/86400/27.321582</f>
        <v>0</v>
      </c>
      <c r="T36" s="12">
        <f>delta_v_normalisé!T36*384748000/86400/27.321582</f>
        <v>0</v>
      </c>
      <c r="U36" s="12">
        <f>delta_v_normalisé!U36*384748000/86400/27.321582</f>
        <v>0</v>
      </c>
      <c r="V36" s="12">
        <f>delta_v_normalisé!V36*384748000/86400/27.321582</f>
        <v>0</v>
      </c>
      <c r="W36" s="12">
        <f>delta_v_normalisé!W36*384748000/86400/27.321582</f>
        <v>0</v>
      </c>
      <c r="X36" s="12">
        <f>delta_v_normalisé!X36*384748000/86400/27.321582</f>
        <v>0</v>
      </c>
      <c r="Y36" s="12">
        <f>delta_v_normalisé!Y36*384748000/86400/27.321582</f>
        <v>0</v>
      </c>
      <c r="Z36" s="12">
        <f>delta_v_normalisé!Z36*384748000/86400/27.321582</f>
        <v>0</v>
      </c>
      <c r="AA36" s="12">
        <f>delta_v_normalisé!AA36*384748000/86400/27.321582</f>
        <v>0</v>
      </c>
      <c r="AB36" s="12">
        <f>delta_v_normalisé!AB36*384748000/86400/27.321582</f>
        <v>0</v>
      </c>
      <c r="AC36" s="12">
        <f>delta_v_normalisé!AC36*384748000/86400/27.321582</f>
        <v>0</v>
      </c>
      <c r="AD36" s="12">
        <f>delta_v_normalisé!AD36*384748000/86400/27.321582</f>
        <v>0</v>
      </c>
      <c r="AE36" s="12">
        <f>delta_v_normalisé!AE36*384748000/86400/27.321582</f>
        <v>0</v>
      </c>
      <c r="AF36" s="12">
        <f>delta_v_normalisé!AF36*384748000/86400/27.321582</f>
        <v>0</v>
      </c>
      <c r="AG36" s="12">
        <f>delta_v_normalisé!AG36*384748000/86400/27.321582</f>
        <v>0</v>
      </c>
      <c r="AH36" s="12">
        <f>delta_v_normalisé!AH36*384748000/86400/27.321582</f>
        <v>327.0329268454874</v>
      </c>
      <c r="AI36" s="12">
        <f>delta_v_normalisé!AI36*384748000/86400/27.321582</f>
        <v>0</v>
      </c>
      <c r="AJ36" s="12">
        <f>delta_v_normalisé!AJ36*384748000/86400/27.321582</f>
        <v>0</v>
      </c>
      <c r="AK36" s="12">
        <f>delta_v_normalisé!AK36*384748000/86400/27.321582</f>
        <v>0</v>
      </c>
      <c r="AL36" s="12">
        <f>delta_v_normalisé!AL36*384748000/86400/27.321582</f>
        <v>0</v>
      </c>
      <c r="AM36" s="12">
        <f>delta_v_normalisé!AM36*384748000/86400/27.321582</f>
        <v>0</v>
      </c>
      <c r="AN36" s="12">
        <f>delta_v_normalisé!AN36*384748000/86400/27.321582</f>
        <v>0</v>
      </c>
      <c r="AO36" s="12">
        <f>delta_v_normalisé!AO36*384748000/86400/27.321582</f>
        <v>0</v>
      </c>
      <c r="AP36" s="12">
        <f>delta_v_normalisé!AP36*384748000/86400/27.321582</f>
        <v>0</v>
      </c>
      <c r="AQ36" s="12">
        <f>delta_v_normalisé!AQ36*384748000/86400/27.321582</f>
        <v>0</v>
      </c>
      <c r="AR36" s="12">
        <f>delta_v_normalisé!AR36*384748000/86400/27.321582</f>
        <v>0</v>
      </c>
      <c r="AS36" s="12">
        <f>delta_v_normalisé!AS36*384748000/86400/27.321582</f>
        <v>0</v>
      </c>
      <c r="AT36" s="12">
        <f>delta_v_normalisé!AT36*384748000/86400/27.321582</f>
        <v>0</v>
      </c>
      <c r="AU36" s="12">
        <f>delta_v_normalisé!AU36*384748000/86400/27.321582</f>
        <v>0</v>
      </c>
      <c r="AV36" s="12">
        <f>delta_v_normalisé!AV36*384748000/86400/27.321582</f>
        <v>0</v>
      </c>
    </row>
    <row r="37" spans="1:48" x14ac:dyDescent="0.2">
      <c r="A37" s="12">
        <f>delta_v_normalisé!A37*384748000/86400/27.321582</f>
        <v>0</v>
      </c>
      <c r="B37" s="12">
        <f>delta_v_normalisé!B37*384748000/86400/27.321582</f>
        <v>0</v>
      </c>
      <c r="C37" s="12">
        <f>delta_v_normalisé!C37*384748000/86400/27.321582</f>
        <v>0</v>
      </c>
      <c r="D37" s="12">
        <f>delta_v_normalisé!D37*384748000/86400/27.321582</f>
        <v>0</v>
      </c>
      <c r="E37" s="12">
        <f>delta_v_normalisé!E37*384748000/86400/27.321582</f>
        <v>0</v>
      </c>
      <c r="F37" s="12">
        <f>delta_v_normalisé!F37*384748000/86400/27.321582</f>
        <v>0</v>
      </c>
      <c r="G37" s="12">
        <f>delta_v_normalisé!G37*384748000/86400/27.321582</f>
        <v>0</v>
      </c>
      <c r="H37" s="12">
        <f>delta_v_normalisé!H37*384748000/86400/27.321582</f>
        <v>0</v>
      </c>
      <c r="I37" s="12">
        <f>delta_v_normalisé!I37*384748000/86400/27.321582</f>
        <v>0</v>
      </c>
      <c r="J37" s="12">
        <f>delta_v_normalisé!J37*384748000/86400/27.321582</f>
        <v>0</v>
      </c>
      <c r="K37" s="12">
        <f>delta_v_normalisé!K37*384748000/86400/27.321582</f>
        <v>0</v>
      </c>
      <c r="L37" s="12">
        <f>delta_v_normalisé!L37*384748000/86400/27.321582</f>
        <v>0</v>
      </c>
      <c r="M37" s="12">
        <f>delta_v_normalisé!M37*384748000/86400/27.321582</f>
        <v>0</v>
      </c>
      <c r="N37" s="12">
        <f>delta_v_normalisé!N37*384748000/86400/27.321582</f>
        <v>0</v>
      </c>
      <c r="O37" s="12">
        <f>delta_v_normalisé!O37*384748000/86400/27.321582</f>
        <v>0</v>
      </c>
      <c r="P37" s="12">
        <f>delta_v_normalisé!P37*384748000/86400/27.321582</f>
        <v>0</v>
      </c>
      <c r="Q37" s="12">
        <f>delta_v_normalisé!Q37*384748000/86400/27.321582</f>
        <v>0</v>
      </c>
      <c r="R37" s="12">
        <f>delta_v_normalisé!R37*384748000/86400/27.321582</f>
        <v>0</v>
      </c>
      <c r="S37" s="12">
        <f>delta_v_normalisé!S37*384748000/86400/27.321582</f>
        <v>0</v>
      </c>
      <c r="T37" s="12">
        <f>delta_v_normalisé!T37*384748000/86400/27.321582</f>
        <v>0</v>
      </c>
      <c r="U37" s="12">
        <f>delta_v_normalisé!U37*384748000/86400/27.321582</f>
        <v>0</v>
      </c>
      <c r="V37" s="12">
        <f>delta_v_normalisé!V37*384748000/86400/27.321582</f>
        <v>0</v>
      </c>
      <c r="W37" s="12">
        <f>delta_v_normalisé!W37*384748000/86400/27.321582</f>
        <v>0</v>
      </c>
      <c r="X37" s="12">
        <f>delta_v_normalisé!X37*384748000/86400/27.321582</f>
        <v>0</v>
      </c>
      <c r="Y37" s="12">
        <f>delta_v_normalisé!Y37*384748000/86400/27.321582</f>
        <v>0</v>
      </c>
      <c r="Z37" s="12">
        <f>delta_v_normalisé!Z37*384748000/86400/27.321582</f>
        <v>0</v>
      </c>
      <c r="AA37" s="12">
        <f>delta_v_normalisé!AA37*384748000/86400/27.321582</f>
        <v>0</v>
      </c>
      <c r="AB37" s="12">
        <f>delta_v_normalisé!AB37*384748000/86400/27.321582</f>
        <v>0</v>
      </c>
      <c r="AC37" s="12">
        <f>delta_v_normalisé!AC37*384748000/86400/27.321582</f>
        <v>0</v>
      </c>
      <c r="AD37" s="12">
        <f>delta_v_normalisé!AD37*384748000/86400/27.321582</f>
        <v>0</v>
      </c>
      <c r="AE37" s="12">
        <f>delta_v_normalisé!AE37*384748000/86400/27.321582</f>
        <v>0</v>
      </c>
      <c r="AF37" s="12">
        <f>delta_v_normalisé!AF37*384748000/86400/27.321582</f>
        <v>0</v>
      </c>
      <c r="AG37" s="12">
        <f>delta_v_normalisé!AG37*384748000/86400/27.321582</f>
        <v>0</v>
      </c>
      <c r="AH37" s="12">
        <f>delta_v_normalisé!AH37*384748000/86400/27.321582</f>
        <v>0</v>
      </c>
      <c r="AI37" s="12">
        <f>delta_v_normalisé!AI37*384748000/86400/27.321582</f>
        <v>174.67840691600546</v>
      </c>
      <c r="AJ37" s="12">
        <f>delta_v_normalisé!AJ37*384748000/86400/27.321582</f>
        <v>0</v>
      </c>
      <c r="AK37" s="12">
        <f>delta_v_normalisé!AK37*384748000/86400/27.321582</f>
        <v>0</v>
      </c>
      <c r="AL37" s="12">
        <f>delta_v_normalisé!AL37*384748000/86400/27.321582</f>
        <v>0</v>
      </c>
      <c r="AM37" s="12">
        <f>delta_v_normalisé!AM37*384748000/86400/27.321582</f>
        <v>0</v>
      </c>
      <c r="AN37" s="12">
        <f>delta_v_normalisé!AN37*384748000/86400/27.321582</f>
        <v>0</v>
      </c>
      <c r="AO37" s="12">
        <f>delta_v_normalisé!AO37*384748000/86400/27.321582</f>
        <v>0</v>
      </c>
      <c r="AP37" s="12">
        <f>delta_v_normalisé!AP37*384748000/86400/27.321582</f>
        <v>0</v>
      </c>
      <c r="AQ37" s="12">
        <f>delta_v_normalisé!AQ37*384748000/86400/27.321582</f>
        <v>0</v>
      </c>
      <c r="AR37" s="12">
        <f>delta_v_normalisé!AR37*384748000/86400/27.321582</f>
        <v>0</v>
      </c>
      <c r="AS37" s="12">
        <f>delta_v_normalisé!AS37*384748000/86400/27.321582</f>
        <v>0</v>
      </c>
      <c r="AT37" s="12">
        <f>delta_v_normalisé!AT37*384748000/86400/27.321582</f>
        <v>0</v>
      </c>
      <c r="AU37" s="12">
        <f>delta_v_normalisé!AU37*384748000/86400/27.321582</f>
        <v>0</v>
      </c>
      <c r="AV37" s="12">
        <f>delta_v_normalisé!AV37*384748000/86400/27.321582</f>
        <v>0</v>
      </c>
    </row>
    <row r="38" spans="1:48" x14ac:dyDescent="0.2">
      <c r="A38" s="12">
        <f>delta_v_normalisé!A38*384748000/86400/27.321582</f>
        <v>0</v>
      </c>
      <c r="B38" s="12">
        <f>delta_v_normalisé!B38*384748000/86400/27.321582</f>
        <v>0</v>
      </c>
      <c r="C38" s="12">
        <f>delta_v_normalisé!C38*384748000/86400/27.321582</f>
        <v>0</v>
      </c>
      <c r="D38" s="12">
        <f>delta_v_normalisé!D38*384748000/86400/27.321582</f>
        <v>0</v>
      </c>
      <c r="E38" s="12">
        <f>delta_v_normalisé!E38*384748000/86400/27.321582</f>
        <v>0</v>
      </c>
      <c r="F38" s="12">
        <f>delta_v_normalisé!F38*384748000/86400/27.321582</f>
        <v>0</v>
      </c>
      <c r="G38" s="12">
        <f>delta_v_normalisé!G38*384748000/86400/27.321582</f>
        <v>0</v>
      </c>
      <c r="H38" s="12">
        <f>delta_v_normalisé!H38*384748000/86400/27.321582</f>
        <v>0</v>
      </c>
      <c r="I38" s="12">
        <f>delta_v_normalisé!I38*384748000/86400/27.321582</f>
        <v>0</v>
      </c>
      <c r="J38" s="12">
        <f>delta_v_normalisé!J38*384748000/86400/27.321582</f>
        <v>0</v>
      </c>
      <c r="K38" s="12">
        <f>delta_v_normalisé!K38*384748000/86400/27.321582</f>
        <v>0</v>
      </c>
      <c r="L38" s="12">
        <f>delta_v_normalisé!L38*384748000/86400/27.321582</f>
        <v>0</v>
      </c>
      <c r="M38" s="12">
        <f>delta_v_normalisé!M38*384748000/86400/27.321582</f>
        <v>0</v>
      </c>
      <c r="N38" s="12">
        <f>delta_v_normalisé!N38*384748000/86400/27.321582</f>
        <v>0</v>
      </c>
      <c r="O38" s="12">
        <f>delta_v_normalisé!O38*384748000/86400/27.321582</f>
        <v>0</v>
      </c>
      <c r="P38" s="12">
        <f>delta_v_normalisé!P38*384748000/86400/27.321582</f>
        <v>0</v>
      </c>
      <c r="Q38" s="12">
        <f>delta_v_normalisé!Q38*384748000/86400/27.321582</f>
        <v>0</v>
      </c>
      <c r="R38" s="12">
        <f>delta_v_normalisé!R38*384748000/86400/27.321582</f>
        <v>0</v>
      </c>
      <c r="S38" s="12">
        <f>delta_v_normalisé!S38*384748000/86400/27.321582</f>
        <v>0</v>
      </c>
      <c r="T38" s="12">
        <f>delta_v_normalisé!T38*384748000/86400/27.321582</f>
        <v>0</v>
      </c>
      <c r="U38" s="12">
        <f>delta_v_normalisé!U38*384748000/86400/27.321582</f>
        <v>0</v>
      </c>
      <c r="V38" s="12">
        <f>delta_v_normalisé!V38*384748000/86400/27.321582</f>
        <v>0</v>
      </c>
      <c r="W38" s="12">
        <f>delta_v_normalisé!W38*384748000/86400/27.321582</f>
        <v>0</v>
      </c>
      <c r="X38" s="12">
        <f>delta_v_normalisé!X38*384748000/86400/27.321582</f>
        <v>0</v>
      </c>
      <c r="Y38" s="12">
        <f>delta_v_normalisé!Y38*384748000/86400/27.321582</f>
        <v>0</v>
      </c>
      <c r="Z38" s="12">
        <f>delta_v_normalisé!Z38*384748000/86400/27.321582</f>
        <v>0</v>
      </c>
      <c r="AA38" s="12">
        <f>delta_v_normalisé!AA38*384748000/86400/27.321582</f>
        <v>0</v>
      </c>
      <c r="AB38" s="12">
        <f>delta_v_normalisé!AB38*384748000/86400/27.321582</f>
        <v>0</v>
      </c>
      <c r="AC38" s="12">
        <f>delta_v_normalisé!AC38*384748000/86400/27.321582</f>
        <v>0</v>
      </c>
      <c r="AD38" s="12">
        <f>delta_v_normalisé!AD38*384748000/86400/27.321582</f>
        <v>0</v>
      </c>
      <c r="AE38" s="12">
        <f>delta_v_normalisé!AE38*384748000/86400/27.321582</f>
        <v>0</v>
      </c>
      <c r="AF38" s="12">
        <f>delta_v_normalisé!AF38*384748000/86400/27.321582</f>
        <v>0</v>
      </c>
      <c r="AG38" s="12">
        <f>delta_v_normalisé!AG38*384748000/86400/27.321582</f>
        <v>0</v>
      </c>
      <c r="AH38" s="12">
        <f>delta_v_normalisé!AH38*384748000/86400/27.321582</f>
        <v>0</v>
      </c>
      <c r="AI38" s="12">
        <f>delta_v_normalisé!AI38*384748000/86400/27.321582</f>
        <v>0</v>
      </c>
      <c r="AJ38" s="12">
        <f>delta_v_normalisé!AJ38*384748000/86400/27.321582</f>
        <v>231.17263697094111</v>
      </c>
      <c r="AK38" s="12">
        <f>delta_v_normalisé!AK38*384748000/86400/27.321582</f>
        <v>0</v>
      </c>
      <c r="AL38" s="12">
        <f>delta_v_normalisé!AL38*384748000/86400/27.321582</f>
        <v>0</v>
      </c>
      <c r="AM38" s="12">
        <f>delta_v_normalisé!AM38*384748000/86400/27.321582</f>
        <v>0</v>
      </c>
      <c r="AN38" s="12">
        <f>delta_v_normalisé!AN38*384748000/86400/27.321582</f>
        <v>0</v>
      </c>
      <c r="AO38" s="12">
        <f>delta_v_normalisé!AO38*384748000/86400/27.321582</f>
        <v>0</v>
      </c>
      <c r="AP38" s="12">
        <f>delta_v_normalisé!AP38*384748000/86400/27.321582</f>
        <v>0</v>
      </c>
      <c r="AQ38" s="12">
        <f>delta_v_normalisé!AQ38*384748000/86400/27.321582</f>
        <v>0</v>
      </c>
      <c r="AR38" s="12">
        <f>delta_v_normalisé!AR38*384748000/86400/27.321582</f>
        <v>0</v>
      </c>
      <c r="AS38" s="12">
        <f>delta_v_normalisé!AS38*384748000/86400/27.321582</f>
        <v>0</v>
      </c>
      <c r="AT38" s="12">
        <f>delta_v_normalisé!AT38*384748000/86400/27.321582</f>
        <v>0</v>
      </c>
      <c r="AU38" s="12">
        <f>delta_v_normalisé!AU38*384748000/86400/27.321582</f>
        <v>0</v>
      </c>
      <c r="AV38" s="12">
        <f>delta_v_normalisé!AV38*384748000/86400/27.321582</f>
        <v>0</v>
      </c>
    </row>
    <row r="39" spans="1:48" x14ac:dyDescent="0.2">
      <c r="A39" s="12">
        <f>delta_v_normalisé!A39*384748000/86400/27.321582</f>
        <v>0</v>
      </c>
      <c r="B39" s="12">
        <f>delta_v_normalisé!B39*384748000/86400/27.321582</f>
        <v>0</v>
      </c>
      <c r="C39" s="12">
        <f>delta_v_normalisé!C39*384748000/86400/27.321582</f>
        <v>0</v>
      </c>
      <c r="D39" s="12">
        <f>delta_v_normalisé!D39*384748000/86400/27.321582</f>
        <v>0</v>
      </c>
      <c r="E39" s="12">
        <f>delta_v_normalisé!E39*384748000/86400/27.321582</f>
        <v>0</v>
      </c>
      <c r="F39" s="12">
        <f>delta_v_normalisé!F39*384748000/86400/27.321582</f>
        <v>0</v>
      </c>
      <c r="G39" s="12">
        <f>delta_v_normalisé!G39*384748000/86400/27.321582</f>
        <v>0</v>
      </c>
      <c r="H39" s="12">
        <f>delta_v_normalisé!H39*384748000/86400/27.321582</f>
        <v>0</v>
      </c>
      <c r="I39" s="12">
        <f>delta_v_normalisé!I39*384748000/86400/27.321582</f>
        <v>0</v>
      </c>
      <c r="J39" s="12">
        <f>delta_v_normalisé!J39*384748000/86400/27.321582</f>
        <v>0</v>
      </c>
      <c r="K39" s="12">
        <f>delta_v_normalisé!K39*384748000/86400/27.321582</f>
        <v>0</v>
      </c>
      <c r="L39" s="12">
        <f>delta_v_normalisé!L39*384748000/86400/27.321582</f>
        <v>0</v>
      </c>
      <c r="M39" s="12">
        <f>delta_v_normalisé!M39*384748000/86400/27.321582</f>
        <v>0</v>
      </c>
      <c r="N39" s="12">
        <f>delta_v_normalisé!N39*384748000/86400/27.321582</f>
        <v>0</v>
      </c>
      <c r="O39" s="12">
        <f>delta_v_normalisé!O39*384748000/86400/27.321582</f>
        <v>0</v>
      </c>
      <c r="P39" s="12">
        <f>delta_v_normalisé!P39*384748000/86400/27.321582</f>
        <v>0</v>
      </c>
      <c r="Q39" s="12">
        <f>delta_v_normalisé!Q39*384748000/86400/27.321582</f>
        <v>0</v>
      </c>
      <c r="R39" s="12">
        <f>delta_v_normalisé!R39*384748000/86400/27.321582</f>
        <v>0</v>
      </c>
      <c r="S39" s="12">
        <f>delta_v_normalisé!S39*384748000/86400/27.321582</f>
        <v>0</v>
      </c>
      <c r="T39" s="12">
        <f>delta_v_normalisé!T39*384748000/86400/27.321582</f>
        <v>0</v>
      </c>
      <c r="U39" s="12">
        <f>delta_v_normalisé!U39*384748000/86400/27.321582</f>
        <v>0</v>
      </c>
      <c r="V39" s="12">
        <f>delta_v_normalisé!V39*384748000/86400/27.321582</f>
        <v>0</v>
      </c>
      <c r="W39" s="12">
        <f>delta_v_normalisé!W39*384748000/86400/27.321582</f>
        <v>0</v>
      </c>
      <c r="X39" s="12">
        <f>delta_v_normalisé!X39*384748000/86400/27.321582</f>
        <v>0</v>
      </c>
      <c r="Y39" s="12">
        <f>delta_v_normalisé!Y39*384748000/86400/27.321582</f>
        <v>0</v>
      </c>
      <c r="Z39" s="12">
        <f>delta_v_normalisé!Z39*384748000/86400/27.321582</f>
        <v>0</v>
      </c>
      <c r="AA39" s="12">
        <f>delta_v_normalisé!AA39*384748000/86400/27.321582</f>
        <v>0</v>
      </c>
      <c r="AB39" s="12">
        <f>delta_v_normalisé!AB39*384748000/86400/27.321582</f>
        <v>0</v>
      </c>
      <c r="AC39" s="12">
        <f>delta_v_normalisé!AC39*384748000/86400/27.321582</f>
        <v>0</v>
      </c>
      <c r="AD39" s="12">
        <f>delta_v_normalisé!AD39*384748000/86400/27.321582</f>
        <v>0</v>
      </c>
      <c r="AE39" s="12">
        <f>delta_v_normalisé!AE39*384748000/86400/27.321582</f>
        <v>0</v>
      </c>
      <c r="AF39" s="12">
        <f>delta_v_normalisé!AF39*384748000/86400/27.321582</f>
        <v>0</v>
      </c>
      <c r="AG39" s="12">
        <f>delta_v_normalisé!AG39*384748000/86400/27.321582</f>
        <v>0</v>
      </c>
      <c r="AH39" s="12">
        <f>delta_v_normalisé!AH39*384748000/86400/27.321582</f>
        <v>0</v>
      </c>
      <c r="AI39" s="12">
        <f>delta_v_normalisé!AI39*384748000/86400/27.321582</f>
        <v>0</v>
      </c>
      <c r="AJ39" s="12">
        <f>delta_v_normalisé!AJ39*384748000/86400/27.321582</f>
        <v>0</v>
      </c>
      <c r="AK39" s="12">
        <f>delta_v_normalisé!AK39*384748000/86400/27.321582</f>
        <v>165.71983308505332</v>
      </c>
      <c r="AL39" s="12">
        <f>delta_v_normalisé!AL39*384748000/86400/27.321582</f>
        <v>0</v>
      </c>
      <c r="AM39" s="12">
        <f>delta_v_normalisé!AM39*384748000/86400/27.321582</f>
        <v>0</v>
      </c>
      <c r="AN39" s="12">
        <f>delta_v_normalisé!AN39*384748000/86400/27.321582</f>
        <v>0</v>
      </c>
      <c r="AO39" s="12">
        <f>delta_v_normalisé!AO39*384748000/86400/27.321582</f>
        <v>0</v>
      </c>
      <c r="AP39" s="12">
        <f>delta_v_normalisé!AP39*384748000/86400/27.321582</f>
        <v>0</v>
      </c>
      <c r="AQ39" s="12">
        <f>delta_v_normalisé!AQ39*384748000/86400/27.321582</f>
        <v>0</v>
      </c>
      <c r="AR39" s="12">
        <f>delta_v_normalisé!AR39*384748000/86400/27.321582</f>
        <v>0</v>
      </c>
      <c r="AS39" s="12">
        <f>delta_v_normalisé!AS39*384748000/86400/27.321582</f>
        <v>0</v>
      </c>
      <c r="AT39" s="12">
        <f>delta_v_normalisé!AT39*384748000/86400/27.321582</f>
        <v>0</v>
      </c>
      <c r="AU39" s="12">
        <f>delta_v_normalisé!AU39*384748000/86400/27.321582</f>
        <v>0</v>
      </c>
      <c r="AV39" s="12">
        <f>delta_v_normalisé!AV39*384748000/86400/27.321582</f>
        <v>0</v>
      </c>
    </row>
    <row r="40" spans="1:48" x14ac:dyDescent="0.2">
      <c r="A40" s="12">
        <f>delta_v_normalisé!A40*384748000/86400/27.321582</f>
        <v>0</v>
      </c>
      <c r="B40" s="12">
        <f>delta_v_normalisé!B40*384748000/86400/27.321582</f>
        <v>0</v>
      </c>
      <c r="C40" s="12">
        <f>delta_v_normalisé!C40*384748000/86400/27.321582</f>
        <v>0</v>
      </c>
      <c r="D40" s="12">
        <f>delta_v_normalisé!D40*384748000/86400/27.321582</f>
        <v>0</v>
      </c>
      <c r="E40" s="12">
        <f>delta_v_normalisé!E40*384748000/86400/27.321582</f>
        <v>0</v>
      </c>
      <c r="F40" s="12">
        <f>delta_v_normalisé!F40*384748000/86400/27.321582</f>
        <v>0</v>
      </c>
      <c r="G40" s="12">
        <f>delta_v_normalisé!G40*384748000/86400/27.321582</f>
        <v>0</v>
      </c>
      <c r="H40" s="12">
        <f>delta_v_normalisé!H40*384748000/86400/27.321582</f>
        <v>0</v>
      </c>
      <c r="I40" s="12">
        <f>delta_v_normalisé!I40*384748000/86400/27.321582</f>
        <v>0</v>
      </c>
      <c r="J40" s="12">
        <f>delta_v_normalisé!J40*384748000/86400/27.321582</f>
        <v>0</v>
      </c>
      <c r="K40" s="12">
        <f>delta_v_normalisé!K40*384748000/86400/27.321582</f>
        <v>0</v>
      </c>
      <c r="L40" s="12">
        <f>delta_v_normalisé!L40*384748000/86400/27.321582</f>
        <v>0</v>
      </c>
      <c r="M40" s="12">
        <f>delta_v_normalisé!M40*384748000/86400/27.321582</f>
        <v>0</v>
      </c>
      <c r="N40" s="12">
        <f>delta_v_normalisé!N40*384748000/86400/27.321582</f>
        <v>0</v>
      </c>
      <c r="O40" s="12">
        <f>delta_v_normalisé!O40*384748000/86400/27.321582</f>
        <v>0</v>
      </c>
      <c r="P40" s="12">
        <f>delta_v_normalisé!P40*384748000/86400/27.321582</f>
        <v>0</v>
      </c>
      <c r="Q40" s="12">
        <f>delta_v_normalisé!Q40*384748000/86400/27.321582</f>
        <v>0</v>
      </c>
      <c r="R40" s="12">
        <f>delta_v_normalisé!R40*384748000/86400/27.321582</f>
        <v>0</v>
      </c>
      <c r="S40" s="12">
        <f>delta_v_normalisé!S40*384748000/86400/27.321582</f>
        <v>0</v>
      </c>
      <c r="T40" s="12">
        <f>delta_v_normalisé!T40*384748000/86400/27.321582</f>
        <v>0</v>
      </c>
      <c r="U40" s="12">
        <f>delta_v_normalisé!U40*384748000/86400/27.321582</f>
        <v>0</v>
      </c>
      <c r="V40" s="12">
        <f>delta_v_normalisé!V40*384748000/86400/27.321582</f>
        <v>0</v>
      </c>
      <c r="W40" s="12">
        <f>delta_v_normalisé!W40*384748000/86400/27.321582</f>
        <v>0</v>
      </c>
      <c r="X40" s="12">
        <f>delta_v_normalisé!X40*384748000/86400/27.321582</f>
        <v>0</v>
      </c>
      <c r="Y40" s="12">
        <f>delta_v_normalisé!Y40*384748000/86400/27.321582</f>
        <v>0</v>
      </c>
      <c r="Z40" s="12">
        <f>delta_v_normalisé!Z40*384748000/86400/27.321582</f>
        <v>0</v>
      </c>
      <c r="AA40" s="12">
        <f>delta_v_normalisé!AA40*384748000/86400/27.321582</f>
        <v>0</v>
      </c>
      <c r="AB40" s="12">
        <f>delta_v_normalisé!AB40*384748000/86400/27.321582</f>
        <v>0</v>
      </c>
      <c r="AC40" s="12">
        <f>delta_v_normalisé!AC40*384748000/86400/27.321582</f>
        <v>0</v>
      </c>
      <c r="AD40" s="12">
        <f>delta_v_normalisé!AD40*384748000/86400/27.321582</f>
        <v>0</v>
      </c>
      <c r="AE40" s="12">
        <f>delta_v_normalisé!AE40*384748000/86400/27.321582</f>
        <v>0</v>
      </c>
      <c r="AF40" s="12">
        <f>delta_v_normalisé!AF40*384748000/86400/27.321582</f>
        <v>0</v>
      </c>
      <c r="AG40" s="12">
        <f>delta_v_normalisé!AG40*384748000/86400/27.321582</f>
        <v>0</v>
      </c>
      <c r="AH40" s="12">
        <f>delta_v_normalisé!AH40*384748000/86400/27.321582</f>
        <v>0</v>
      </c>
      <c r="AI40" s="12">
        <f>delta_v_normalisé!AI40*384748000/86400/27.321582</f>
        <v>0</v>
      </c>
      <c r="AJ40" s="12">
        <f>delta_v_normalisé!AJ40*384748000/86400/27.321582</f>
        <v>0</v>
      </c>
      <c r="AK40" s="12">
        <f>delta_v_normalisé!AK40*384748000/86400/27.321582</f>
        <v>0</v>
      </c>
      <c r="AL40" s="12">
        <f>delta_v_normalisé!AL40*384748000/86400/27.321582</f>
        <v>225.79726511314985</v>
      </c>
      <c r="AM40" s="12">
        <f>delta_v_normalisé!AM40*384748000/86400/27.321582</f>
        <v>0</v>
      </c>
      <c r="AN40" s="12">
        <f>delta_v_normalisé!AN40*384748000/86400/27.321582</f>
        <v>0</v>
      </c>
      <c r="AO40" s="12">
        <f>delta_v_normalisé!AO40*384748000/86400/27.321582</f>
        <v>0</v>
      </c>
      <c r="AP40" s="12">
        <f>delta_v_normalisé!AP40*384748000/86400/27.321582</f>
        <v>0</v>
      </c>
      <c r="AQ40" s="12">
        <f>delta_v_normalisé!AQ40*384748000/86400/27.321582</f>
        <v>0</v>
      </c>
      <c r="AR40" s="12">
        <f>delta_v_normalisé!AR40*384748000/86400/27.321582</f>
        <v>0</v>
      </c>
      <c r="AS40" s="12">
        <f>delta_v_normalisé!AS40*384748000/86400/27.321582</f>
        <v>0</v>
      </c>
      <c r="AT40" s="12">
        <f>delta_v_normalisé!AT40*384748000/86400/27.321582</f>
        <v>0</v>
      </c>
      <c r="AU40" s="12">
        <f>delta_v_normalisé!AU40*384748000/86400/27.321582</f>
        <v>0</v>
      </c>
      <c r="AV40" s="12">
        <f>delta_v_normalisé!AV40*384748000/86400/27.321582</f>
        <v>0</v>
      </c>
    </row>
    <row r="41" spans="1:48" x14ac:dyDescent="0.2">
      <c r="A41" s="12">
        <f>delta_v_normalisé!A41*384748000/86400/27.321582</f>
        <v>0</v>
      </c>
      <c r="B41" s="12">
        <f>delta_v_normalisé!B41*384748000/86400/27.321582</f>
        <v>0</v>
      </c>
      <c r="C41" s="12">
        <f>delta_v_normalisé!C41*384748000/86400/27.321582</f>
        <v>0</v>
      </c>
      <c r="D41" s="12">
        <f>delta_v_normalisé!D41*384748000/86400/27.321582</f>
        <v>0</v>
      </c>
      <c r="E41" s="12">
        <f>delta_v_normalisé!E41*384748000/86400/27.321582</f>
        <v>0</v>
      </c>
      <c r="F41" s="12">
        <f>delta_v_normalisé!F41*384748000/86400/27.321582</f>
        <v>0</v>
      </c>
      <c r="G41" s="12">
        <f>delta_v_normalisé!G41*384748000/86400/27.321582</f>
        <v>0</v>
      </c>
      <c r="H41" s="12">
        <f>delta_v_normalisé!H41*384748000/86400/27.321582</f>
        <v>0</v>
      </c>
      <c r="I41" s="12">
        <f>delta_v_normalisé!I41*384748000/86400/27.321582</f>
        <v>0</v>
      </c>
      <c r="J41" s="12">
        <f>delta_v_normalisé!J41*384748000/86400/27.321582</f>
        <v>0</v>
      </c>
      <c r="K41" s="12">
        <f>delta_v_normalisé!K41*384748000/86400/27.321582</f>
        <v>0</v>
      </c>
      <c r="L41" s="12">
        <f>delta_v_normalisé!L41*384748000/86400/27.321582</f>
        <v>0</v>
      </c>
      <c r="M41" s="12">
        <f>delta_v_normalisé!M41*384748000/86400/27.321582</f>
        <v>0</v>
      </c>
      <c r="N41" s="12">
        <f>delta_v_normalisé!N41*384748000/86400/27.321582</f>
        <v>0</v>
      </c>
      <c r="O41" s="12">
        <f>delta_v_normalisé!O41*384748000/86400/27.321582</f>
        <v>0</v>
      </c>
      <c r="P41" s="12">
        <f>delta_v_normalisé!P41*384748000/86400/27.321582</f>
        <v>0</v>
      </c>
      <c r="Q41" s="12">
        <f>delta_v_normalisé!Q41*384748000/86400/27.321582</f>
        <v>0</v>
      </c>
      <c r="R41" s="12">
        <f>delta_v_normalisé!R41*384748000/86400/27.321582</f>
        <v>0</v>
      </c>
      <c r="S41" s="12">
        <f>delta_v_normalisé!S41*384748000/86400/27.321582</f>
        <v>0</v>
      </c>
      <c r="T41" s="12">
        <f>delta_v_normalisé!T41*384748000/86400/27.321582</f>
        <v>0</v>
      </c>
      <c r="U41" s="12">
        <f>delta_v_normalisé!U41*384748000/86400/27.321582</f>
        <v>0</v>
      </c>
      <c r="V41" s="12">
        <f>delta_v_normalisé!V41*384748000/86400/27.321582</f>
        <v>0</v>
      </c>
      <c r="W41" s="12">
        <f>delta_v_normalisé!W41*384748000/86400/27.321582</f>
        <v>0</v>
      </c>
      <c r="X41" s="12">
        <f>delta_v_normalisé!X41*384748000/86400/27.321582</f>
        <v>0</v>
      </c>
      <c r="Y41" s="12">
        <f>delta_v_normalisé!Y41*384748000/86400/27.321582</f>
        <v>0</v>
      </c>
      <c r="Z41" s="12">
        <f>delta_v_normalisé!Z41*384748000/86400/27.321582</f>
        <v>0</v>
      </c>
      <c r="AA41" s="12">
        <f>delta_v_normalisé!AA41*384748000/86400/27.321582</f>
        <v>0</v>
      </c>
      <c r="AB41" s="12">
        <f>delta_v_normalisé!AB41*384748000/86400/27.321582</f>
        <v>0</v>
      </c>
      <c r="AC41" s="12">
        <f>delta_v_normalisé!AC41*384748000/86400/27.321582</f>
        <v>0</v>
      </c>
      <c r="AD41" s="12">
        <f>delta_v_normalisé!AD41*384748000/86400/27.321582</f>
        <v>0</v>
      </c>
      <c r="AE41" s="12">
        <f>delta_v_normalisé!AE41*384748000/86400/27.321582</f>
        <v>0</v>
      </c>
      <c r="AF41" s="12">
        <f>delta_v_normalisé!AF41*384748000/86400/27.321582</f>
        <v>0</v>
      </c>
      <c r="AG41" s="12">
        <f>delta_v_normalisé!AG41*384748000/86400/27.321582</f>
        <v>0</v>
      </c>
      <c r="AH41" s="12">
        <f>delta_v_normalisé!AH41*384748000/86400/27.321582</f>
        <v>0</v>
      </c>
      <c r="AI41" s="12">
        <f>delta_v_normalisé!AI41*384748000/86400/27.321582</f>
        <v>0</v>
      </c>
      <c r="AJ41" s="12">
        <f>delta_v_normalisé!AJ41*384748000/86400/27.321582</f>
        <v>0</v>
      </c>
      <c r="AK41" s="12">
        <f>delta_v_normalisé!AK41*384748000/86400/27.321582</f>
        <v>0</v>
      </c>
      <c r="AL41" s="12">
        <f>delta_v_normalisé!AL41*384748000/86400/27.321582</f>
        <v>0</v>
      </c>
      <c r="AM41" s="12">
        <f>delta_v_normalisé!AM41*384748000/86400/27.321582</f>
        <v>219.15283597649696</v>
      </c>
      <c r="AN41" s="12">
        <f>delta_v_normalisé!AN41*384748000/86400/27.321582</f>
        <v>0</v>
      </c>
      <c r="AO41" s="12">
        <f>delta_v_normalisé!AO41*384748000/86400/27.321582</f>
        <v>0</v>
      </c>
      <c r="AP41" s="12">
        <f>delta_v_normalisé!AP41*384748000/86400/27.321582</f>
        <v>0</v>
      </c>
      <c r="AQ41" s="12">
        <f>delta_v_normalisé!AQ41*384748000/86400/27.321582</f>
        <v>0</v>
      </c>
      <c r="AR41" s="12">
        <f>delta_v_normalisé!AR41*384748000/86400/27.321582</f>
        <v>0</v>
      </c>
      <c r="AS41" s="12">
        <f>delta_v_normalisé!AS41*384748000/86400/27.321582</f>
        <v>0</v>
      </c>
      <c r="AT41" s="12">
        <f>delta_v_normalisé!AT41*384748000/86400/27.321582</f>
        <v>0</v>
      </c>
      <c r="AU41" s="12">
        <f>delta_v_normalisé!AU41*384748000/86400/27.321582</f>
        <v>0</v>
      </c>
      <c r="AV41" s="12">
        <f>delta_v_normalisé!AV41*384748000/86400/27.321582</f>
        <v>0</v>
      </c>
    </row>
    <row r="42" spans="1:48" x14ac:dyDescent="0.2">
      <c r="A42" s="12">
        <f>delta_v_normalisé!A42*384748000/86400/27.321582</f>
        <v>0</v>
      </c>
      <c r="B42" s="12">
        <f>delta_v_normalisé!B42*384748000/86400/27.321582</f>
        <v>0</v>
      </c>
      <c r="C42" s="12">
        <f>delta_v_normalisé!C42*384748000/86400/27.321582</f>
        <v>0</v>
      </c>
      <c r="D42" s="12">
        <f>delta_v_normalisé!D42*384748000/86400/27.321582</f>
        <v>0</v>
      </c>
      <c r="E42" s="12">
        <f>delta_v_normalisé!E42*384748000/86400/27.321582</f>
        <v>0</v>
      </c>
      <c r="F42" s="12">
        <f>delta_v_normalisé!F42*384748000/86400/27.321582</f>
        <v>0</v>
      </c>
      <c r="G42" s="12">
        <f>delta_v_normalisé!G42*384748000/86400/27.321582</f>
        <v>0</v>
      </c>
      <c r="H42" s="12">
        <f>delta_v_normalisé!H42*384748000/86400/27.321582</f>
        <v>0</v>
      </c>
      <c r="I42" s="12">
        <f>delta_v_normalisé!I42*384748000/86400/27.321582</f>
        <v>0</v>
      </c>
      <c r="J42" s="12">
        <f>delta_v_normalisé!J42*384748000/86400/27.321582</f>
        <v>0</v>
      </c>
      <c r="K42" s="12">
        <f>delta_v_normalisé!K42*384748000/86400/27.321582</f>
        <v>0</v>
      </c>
      <c r="L42" s="12">
        <f>delta_v_normalisé!L42*384748000/86400/27.321582</f>
        <v>0</v>
      </c>
      <c r="M42" s="12">
        <f>delta_v_normalisé!M42*384748000/86400/27.321582</f>
        <v>0</v>
      </c>
      <c r="N42" s="12">
        <f>delta_v_normalisé!N42*384748000/86400/27.321582</f>
        <v>0</v>
      </c>
      <c r="O42" s="12">
        <f>delta_v_normalisé!O42*384748000/86400/27.321582</f>
        <v>0</v>
      </c>
      <c r="P42" s="12">
        <f>delta_v_normalisé!P42*384748000/86400/27.321582</f>
        <v>0</v>
      </c>
      <c r="Q42" s="12">
        <f>delta_v_normalisé!Q42*384748000/86400/27.321582</f>
        <v>0</v>
      </c>
      <c r="R42" s="12">
        <f>delta_v_normalisé!R42*384748000/86400/27.321582</f>
        <v>0</v>
      </c>
      <c r="S42" s="12">
        <f>delta_v_normalisé!S42*384748000/86400/27.321582</f>
        <v>0</v>
      </c>
      <c r="T42" s="12">
        <f>delta_v_normalisé!T42*384748000/86400/27.321582</f>
        <v>0</v>
      </c>
      <c r="U42" s="12">
        <f>delta_v_normalisé!U42*384748000/86400/27.321582</f>
        <v>0</v>
      </c>
      <c r="V42" s="12">
        <f>delta_v_normalisé!V42*384748000/86400/27.321582</f>
        <v>0</v>
      </c>
      <c r="W42" s="12">
        <f>delta_v_normalisé!W42*384748000/86400/27.321582</f>
        <v>0</v>
      </c>
      <c r="X42" s="12">
        <f>delta_v_normalisé!X42*384748000/86400/27.321582</f>
        <v>0</v>
      </c>
      <c r="Y42" s="12">
        <f>delta_v_normalisé!Y42*384748000/86400/27.321582</f>
        <v>0</v>
      </c>
      <c r="Z42" s="12">
        <f>delta_v_normalisé!Z42*384748000/86400/27.321582</f>
        <v>0</v>
      </c>
      <c r="AA42" s="12">
        <f>delta_v_normalisé!AA42*384748000/86400/27.321582</f>
        <v>0</v>
      </c>
      <c r="AB42" s="12">
        <f>delta_v_normalisé!AB42*384748000/86400/27.321582</f>
        <v>0</v>
      </c>
      <c r="AC42" s="12">
        <f>delta_v_normalisé!AC42*384748000/86400/27.321582</f>
        <v>0</v>
      </c>
      <c r="AD42" s="12">
        <f>delta_v_normalisé!AD42*384748000/86400/27.321582</f>
        <v>0</v>
      </c>
      <c r="AE42" s="12">
        <f>delta_v_normalisé!AE42*384748000/86400/27.321582</f>
        <v>0</v>
      </c>
      <c r="AF42" s="12">
        <f>delta_v_normalisé!AF42*384748000/86400/27.321582</f>
        <v>0</v>
      </c>
      <c r="AG42" s="12">
        <f>delta_v_normalisé!AG42*384748000/86400/27.321582</f>
        <v>0</v>
      </c>
      <c r="AH42" s="12">
        <f>delta_v_normalisé!AH42*384748000/86400/27.321582</f>
        <v>0</v>
      </c>
      <c r="AI42" s="12">
        <f>delta_v_normalisé!AI42*384748000/86400/27.321582</f>
        <v>0</v>
      </c>
      <c r="AJ42" s="12">
        <f>delta_v_normalisé!AJ42*384748000/86400/27.321582</f>
        <v>0</v>
      </c>
      <c r="AK42" s="12">
        <f>delta_v_normalisé!AK42*384748000/86400/27.321582</f>
        <v>0</v>
      </c>
      <c r="AL42" s="12">
        <f>delta_v_normalisé!AL42*384748000/86400/27.321582</f>
        <v>0</v>
      </c>
      <c r="AM42" s="12">
        <f>delta_v_normalisé!AM42*384748000/86400/27.321582</f>
        <v>0</v>
      </c>
      <c r="AN42" s="12">
        <f>delta_v_normalisé!AN42*384748000/86400/27.321582</f>
        <v>212.24478845636548</v>
      </c>
      <c r="AO42" s="12">
        <f>delta_v_normalisé!AO42*384748000/86400/27.321582</f>
        <v>0</v>
      </c>
      <c r="AP42" s="12">
        <f>delta_v_normalisé!AP42*384748000/86400/27.321582</f>
        <v>0</v>
      </c>
      <c r="AQ42" s="12">
        <f>delta_v_normalisé!AQ42*384748000/86400/27.321582</f>
        <v>0</v>
      </c>
      <c r="AR42" s="12">
        <f>delta_v_normalisé!AR42*384748000/86400/27.321582</f>
        <v>0</v>
      </c>
      <c r="AS42" s="12">
        <f>delta_v_normalisé!AS42*384748000/86400/27.321582</f>
        <v>0</v>
      </c>
      <c r="AT42" s="12">
        <f>delta_v_normalisé!AT42*384748000/86400/27.321582</f>
        <v>0</v>
      </c>
      <c r="AU42" s="12">
        <f>delta_v_normalisé!AU42*384748000/86400/27.321582</f>
        <v>0</v>
      </c>
      <c r="AV42" s="12">
        <f>delta_v_normalisé!AV42*384748000/86400/27.321582</f>
        <v>0</v>
      </c>
    </row>
    <row r="43" spans="1:48" x14ac:dyDescent="0.2">
      <c r="A43" s="12">
        <f>delta_v_normalisé!A43*384748000/86400/27.321582</f>
        <v>0</v>
      </c>
      <c r="B43" s="12">
        <f>delta_v_normalisé!B43*384748000/86400/27.321582</f>
        <v>0</v>
      </c>
      <c r="C43" s="12">
        <f>delta_v_normalisé!C43*384748000/86400/27.321582</f>
        <v>0</v>
      </c>
      <c r="D43" s="12">
        <f>delta_v_normalisé!D43*384748000/86400/27.321582</f>
        <v>0</v>
      </c>
      <c r="E43" s="12">
        <f>delta_v_normalisé!E43*384748000/86400/27.321582</f>
        <v>0</v>
      </c>
      <c r="F43" s="12">
        <f>delta_v_normalisé!F43*384748000/86400/27.321582</f>
        <v>0</v>
      </c>
      <c r="G43" s="12">
        <f>delta_v_normalisé!G43*384748000/86400/27.321582</f>
        <v>0</v>
      </c>
      <c r="H43" s="12">
        <f>delta_v_normalisé!H43*384748000/86400/27.321582</f>
        <v>0</v>
      </c>
      <c r="I43" s="12">
        <f>delta_v_normalisé!I43*384748000/86400/27.321582</f>
        <v>0</v>
      </c>
      <c r="J43" s="12">
        <f>delta_v_normalisé!J43*384748000/86400/27.321582</f>
        <v>0</v>
      </c>
      <c r="K43" s="12">
        <f>delta_v_normalisé!K43*384748000/86400/27.321582</f>
        <v>0</v>
      </c>
      <c r="L43" s="12">
        <f>delta_v_normalisé!L43*384748000/86400/27.321582</f>
        <v>0</v>
      </c>
      <c r="M43" s="12">
        <f>delta_v_normalisé!M43*384748000/86400/27.321582</f>
        <v>0</v>
      </c>
      <c r="N43" s="12">
        <f>delta_v_normalisé!N43*384748000/86400/27.321582</f>
        <v>0</v>
      </c>
      <c r="O43" s="12">
        <f>delta_v_normalisé!O43*384748000/86400/27.321582</f>
        <v>0</v>
      </c>
      <c r="P43" s="12">
        <f>delta_v_normalisé!P43*384748000/86400/27.321582</f>
        <v>0</v>
      </c>
      <c r="Q43" s="12">
        <f>delta_v_normalisé!Q43*384748000/86400/27.321582</f>
        <v>0</v>
      </c>
      <c r="R43" s="12">
        <f>delta_v_normalisé!R43*384748000/86400/27.321582</f>
        <v>0</v>
      </c>
      <c r="S43" s="12">
        <f>delta_v_normalisé!S43*384748000/86400/27.321582</f>
        <v>0</v>
      </c>
      <c r="T43" s="12">
        <f>delta_v_normalisé!T43*384748000/86400/27.321582</f>
        <v>0</v>
      </c>
      <c r="U43" s="12">
        <f>delta_v_normalisé!U43*384748000/86400/27.321582</f>
        <v>0</v>
      </c>
      <c r="V43" s="12">
        <f>delta_v_normalisé!V43*384748000/86400/27.321582</f>
        <v>0</v>
      </c>
      <c r="W43" s="12">
        <f>delta_v_normalisé!W43*384748000/86400/27.321582</f>
        <v>0</v>
      </c>
      <c r="X43" s="12">
        <f>delta_v_normalisé!X43*384748000/86400/27.321582</f>
        <v>0</v>
      </c>
      <c r="Y43" s="12">
        <f>delta_v_normalisé!Y43*384748000/86400/27.321582</f>
        <v>0</v>
      </c>
      <c r="Z43" s="12">
        <f>delta_v_normalisé!Z43*384748000/86400/27.321582</f>
        <v>0</v>
      </c>
      <c r="AA43" s="12">
        <f>delta_v_normalisé!AA43*384748000/86400/27.321582</f>
        <v>0</v>
      </c>
      <c r="AB43" s="12">
        <f>delta_v_normalisé!AB43*384748000/86400/27.321582</f>
        <v>0</v>
      </c>
      <c r="AC43" s="12">
        <f>delta_v_normalisé!AC43*384748000/86400/27.321582</f>
        <v>0</v>
      </c>
      <c r="AD43" s="12">
        <f>delta_v_normalisé!AD43*384748000/86400/27.321582</f>
        <v>0</v>
      </c>
      <c r="AE43" s="12">
        <f>delta_v_normalisé!AE43*384748000/86400/27.321582</f>
        <v>0</v>
      </c>
      <c r="AF43" s="12">
        <f>delta_v_normalisé!AF43*384748000/86400/27.321582</f>
        <v>0</v>
      </c>
      <c r="AG43" s="12">
        <f>delta_v_normalisé!AG43*384748000/86400/27.321582</f>
        <v>0</v>
      </c>
      <c r="AH43" s="12">
        <f>delta_v_normalisé!AH43*384748000/86400/27.321582</f>
        <v>0</v>
      </c>
      <c r="AI43" s="12">
        <f>delta_v_normalisé!AI43*384748000/86400/27.321582</f>
        <v>0</v>
      </c>
      <c r="AJ43" s="12">
        <f>delta_v_normalisé!AJ43*384748000/86400/27.321582</f>
        <v>0</v>
      </c>
      <c r="AK43" s="12">
        <f>delta_v_normalisé!AK43*384748000/86400/27.321582</f>
        <v>0</v>
      </c>
      <c r="AL43" s="12">
        <f>delta_v_normalisé!AL43*384748000/86400/27.321582</f>
        <v>0</v>
      </c>
      <c r="AM43" s="12">
        <f>delta_v_normalisé!AM43*384748000/86400/27.321582</f>
        <v>0</v>
      </c>
      <c r="AN43" s="12">
        <f>delta_v_normalisé!AN43*384748000/86400/27.321582</f>
        <v>0</v>
      </c>
      <c r="AO43" s="12">
        <f>delta_v_normalisé!AO43*384748000/86400/27.321582</f>
        <v>285.80935411569487</v>
      </c>
      <c r="AP43" s="12">
        <f>delta_v_normalisé!AP43*384748000/86400/27.321582</f>
        <v>0</v>
      </c>
      <c r="AQ43" s="12">
        <f>delta_v_normalisé!AQ43*384748000/86400/27.321582</f>
        <v>0</v>
      </c>
      <c r="AR43" s="12">
        <f>delta_v_normalisé!AR43*384748000/86400/27.321582</f>
        <v>0</v>
      </c>
      <c r="AS43" s="12">
        <f>delta_v_normalisé!AS43*384748000/86400/27.321582</f>
        <v>0</v>
      </c>
      <c r="AT43" s="12">
        <f>delta_v_normalisé!AT43*384748000/86400/27.321582</f>
        <v>0</v>
      </c>
      <c r="AU43" s="12">
        <f>delta_v_normalisé!AU43*384748000/86400/27.321582</f>
        <v>0</v>
      </c>
      <c r="AV43" s="12">
        <f>delta_v_normalisé!AV43*384748000/86400/27.321582</f>
        <v>0</v>
      </c>
    </row>
    <row r="44" spans="1:48" x14ac:dyDescent="0.2">
      <c r="A44" s="12">
        <f>delta_v_normalisé!A44*384748000/86400/27.321582</f>
        <v>0</v>
      </c>
      <c r="B44" s="12">
        <f>delta_v_normalisé!B44*384748000/86400/27.321582</f>
        <v>0</v>
      </c>
      <c r="C44" s="12">
        <f>delta_v_normalisé!C44*384748000/86400/27.321582</f>
        <v>0</v>
      </c>
      <c r="D44" s="12">
        <f>delta_v_normalisé!D44*384748000/86400/27.321582</f>
        <v>0</v>
      </c>
      <c r="E44" s="12">
        <f>delta_v_normalisé!E44*384748000/86400/27.321582</f>
        <v>0</v>
      </c>
      <c r="F44" s="12">
        <f>delta_v_normalisé!F44*384748000/86400/27.321582</f>
        <v>0</v>
      </c>
      <c r="G44" s="12">
        <f>delta_v_normalisé!G44*384748000/86400/27.321582</f>
        <v>0</v>
      </c>
      <c r="H44" s="12">
        <f>delta_v_normalisé!H44*384748000/86400/27.321582</f>
        <v>0</v>
      </c>
      <c r="I44" s="12">
        <f>delta_v_normalisé!I44*384748000/86400/27.321582</f>
        <v>0</v>
      </c>
      <c r="J44" s="12">
        <f>delta_v_normalisé!J44*384748000/86400/27.321582</f>
        <v>0</v>
      </c>
      <c r="K44" s="12">
        <f>delta_v_normalisé!K44*384748000/86400/27.321582</f>
        <v>0</v>
      </c>
      <c r="L44" s="12">
        <f>delta_v_normalisé!L44*384748000/86400/27.321582</f>
        <v>0</v>
      </c>
      <c r="M44" s="12">
        <f>delta_v_normalisé!M44*384748000/86400/27.321582</f>
        <v>0</v>
      </c>
      <c r="N44" s="12">
        <f>delta_v_normalisé!N44*384748000/86400/27.321582</f>
        <v>0</v>
      </c>
      <c r="O44" s="12">
        <f>delta_v_normalisé!O44*384748000/86400/27.321582</f>
        <v>0</v>
      </c>
      <c r="P44" s="12">
        <f>delta_v_normalisé!P44*384748000/86400/27.321582</f>
        <v>0</v>
      </c>
      <c r="Q44" s="12">
        <f>delta_v_normalisé!Q44*384748000/86400/27.321582</f>
        <v>0</v>
      </c>
      <c r="R44" s="12">
        <f>delta_v_normalisé!R44*384748000/86400/27.321582</f>
        <v>0</v>
      </c>
      <c r="S44" s="12">
        <f>delta_v_normalisé!S44*384748000/86400/27.321582</f>
        <v>0</v>
      </c>
      <c r="T44" s="12">
        <f>delta_v_normalisé!T44*384748000/86400/27.321582</f>
        <v>0</v>
      </c>
      <c r="U44" s="12">
        <f>delta_v_normalisé!U44*384748000/86400/27.321582</f>
        <v>0</v>
      </c>
      <c r="V44" s="12">
        <f>delta_v_normalisé!V44*384748000/86400/27.321582</f>
        <v>0</v>
      </c>
      <c r="W44" s="12">
        <f>delta_v_normalisé!W44*384748000/86400/27.321582</f>
        <v>0</v>
      </c>
      <c r="X44" s="12">
        <f>delta_v_normalisé!X44*384748000/86400/27.321582</f>
        <v>0</v>
      </c>
      <c r="Y44" s="12">
        <f>delta_v_normalisé!Y44*384748000/86400/27.321582</f>
        <v>0</v>
      </c>
      <c r="Z44" s="12">
        <f>delta_v_normalisé!Z44*384748000/86400/27.321582</f>
        <v>0</v>
      </c>
      <c r="AA44" s="12">
        <f>delta_v_normalisé!AA44*384748000/86400/27.321582</f>
        <v>0</v>
      </c>
      <c r="AB44" s="12">
        <f>delta_v_normalisé!AB44*384748000/86400/27.321582</f>
        <v>0</v>
      </c>
      <c r="AC44" s="12">
        <f>delta_v_normalisé!AC44*384748000/86400/27.321582</f>
        <v>0</v>
      </c>
      <c r="AD44" s="12">
        <f>delta_v_normalisé!AD44*384748000/86400/27.321582</f>
        <v>0</v>
      </c>
      <c r="AE44" s="12">
        <f>delta_v_normalisé!AE44*384748000/86400/27.321582</f>
        <v>0</v>
      </c>
      <c r="AF44" s="12">
        <f>delta_v_normalisé!AF44*384748000/86400/27.321582</f>
        <v>0</v>
      </c>
      <c r="AG44" s="12">
        <f>delta_v_normalisé!AG44*384748000/86400/27.321582</f>
        <v>0</v>
      </c>
      <c r="AH44" s="12">
        <f>delta_v_normalisé!AH44*384748000/86400/27.321582</f>
        <v>0</v>
      </c>
      <c r="AI44" s="12">
        <f>delta_v_normalisé!AI44*384748000/86400/27.321582</f>
        <v>0</v>
      </c>
      <c r="AJ44" s="12">
        <f>delta_v_normalisé!AJ44*384748000/86400/27.321582</f>
        <v>0</v>
      </c>
      <c r="AK44" s="12">
        <f>delta_v_normalisé!AK44*384748000/86400/27.321582</f>
        <v>0</v>
      </c>
      <c r="AL44" s="12">
        <f>delta_v_normalisé!AL44*384748000/86400/27.321582</f>
        <v>0</v>
      </c>
      <c r="AM44" s="12">
        <f>delta_v_normalisé!AM44*384748000/86400/27.321582</f>
        <v>0</v>
      </c>
      <c r="AN44" s="12">
        <f>delta_v_normalisé!AN44*384748000/86400/27.321582</f>
        <v>0</v>
      </c>
      <c r="AO44" s="12">
        <f>delta_v_normalisé!AO44*384748000/86400/27.321582</f>
        <v>0</v>
      </c>
      <c r="AP44" s="12">
        <f>delta_v_normalisé!AP44*384748000/86400/27.321582</f>
        <v>248.11337925713121</v>
      </c>
      <c r="AQ44" s="12">
        <f>delta_v_normalisé!AQ44*384748000/86400/27.321582</f>
        <v>0</v>
      </c>
      <c r="AR44" s="12">
        <f>delta_v_normalisé!AR44*384748000/86400/27.321582</f>
        <v>0</v>
      </c>
      <c r="AS44" s="12">
        <f>delta_v_normalisé!AS44*384748000/86400/27.321582</f>
        <v>0</v>
      </c>
      <c r="AT44" s="12">
        <f>delta_v_normalisé!AT44*384748000/86400/27.321582</f>
        <v>0</v>
      </c>
      <c r="AU44" s="12">
        <f>delta_v_normalisé!AU44*384748000/86400/27.321582</f>
        <v>0</v>
      </c>
      <c r="AV44" s="12">
        <f>delta_v_normalisé!AV44*384748000/86400/27.321582</f>
        <v>0</v>
      </c>
    </row>
    <row r="45" spans="1:48" x14ac:dyDescent="0.2">
      <c r="A45" s="12">
        <f>delta_v_normalisé!A45*384748000/86400/27.321582</f>
        <v>0</v>
      </c>
      <c r="B45" s="12">
        <f>delta_v_normalisé!B45*384748000/86400/27.321582</f>
        <v>0</v>
      </c>
      <c r="C45" s="12">
        <f>delta_v_normalisé!C45*384748000/86400/27.321582</f>
        <v>0</v>
      </c>
      <c r="D45" s="12">
        <f>delta_v_normalisé!D45*384748000/86400/27.321582</f>
        <v>0</v>
      </c>
      <c r="E45" s="12">
        <f>delta_v_normalisé!E45*384748000/86400/27.321582</f>
        <v>0</v>
      </c>
      <c r="F45" s="12">
        <f>delta_v_normalisé!F45*384748000/86400/27.321582</f>
        <v>0</v>
      </c>
      <c r="G45" s="12">
        <f>delta_v_normalisé!G45*384748000/86400/27.321582</f>
        <v>0</v>
      </c>
      <c r="H45" s="12">
        <f>delta_v_normalisé!H45*384748000/86400/27.321582</f>
        <v>0</v>
      </c>
      <c r="I45" s="12">
        <f>delta_v_normalisé!I45*384748000/86400/27.321582</f>
        <v>0</v>
      </c>
      <c r="J45" s="12">
        <f>delta_v_normalisé!J45*384748000/86400/27.321582</f>
        <v>0</v>
      </c>
      <c r="K45" s="12">
        <f>delta_v_normalisé!K45*384748000/86400/27.321582</f>
        <v>0</v>
      </c>
      <c r="L45" s="12">
        <f>delta_v_normalisé!L45*384748000/86400/27.321582</f>
        <v>0</v>
      </c>
      <c r="M45" s="12">
        <f>delta_v_normalisé!M45*384748000/86400/27.321582</f>
        <v>0</v>
      </c>
      <c r="N45" s="12">
        <f>delta_v_normalisé!N45*384748000/86400/27.321582</f>
        <v>0</v>
      </c>
      <c r="O45" s="12">
        <f>delta_v_normalisé!O45*384748000/86400/27.321582</f>
        <v>0</v>
      </c>
      <c r="P45" s="12">
        <f>delta_v_normalisé!P45*384748000/86400/27.321582</f>
        <v>0</v>
      </c>
      <c r="Q45" s="12">
        <f>delta_v_normalisé!Q45*384748000/86400/27.321582</f>
        <v>0</v>
      </c>
      <c r="R45" s="12">
        <f>delta_v_normalisé!R45*384748000/86400/27.321582</f>
        <v>0</v>
      </c>
      <c r="S45" s="12">
        <f>delta_v_normalisé!S45*384748000/86400/27.321582</f>
        <v>0</v>
      </c>
      <c r="T45" s="12">
        <f>delta_v_normalisé!T45*384748000/86400/27.321582</f>
        <v>0</v>
      </c>
      <c r="U45" s="12">
        <f>delta_v_normalisé!U45*384748000/86400/27.321582</f>
        <v>0</v>
      </c>
      <c r="V45" s="12">
        <f>delta_v_normalisé!V45*384748000/86400/27.321582</f>
        <v>0</v>
      </c>
      <c r="W45" s="12">
        <f>delta_v_normalisé!W45*384748000/86400/27.321582</f>
        <v>0</v>
      </c>
      <c r="X45" s="12">
        <f>delta_v_normalisé!X45*384748000/86400/27.321582</f>
        <v>0</v>
      </c>
      <c r="Y45" s="12">
        <f>delta_v_normalisé!Y45*384748000/86400/27.321582</f>
        <v>0</v>
      </c>
      <c r="Z45" s="12">
        <f>delta_v_normalisé!Z45*384748000/86400/27.321582</f>
        <v>0</v>
      </c>
      <c r="AA45" s="12">
        <f>delta_v_normalisé!AA45*384748000/86400/27.321582</f>
        <v>0</v>
      </c>
      <c r="AB45" s="12">
        <f>delta_v_normalisé!AB45*384748000/86400/27.321582</f>
        <v>0</v>
      </c>
      <c r="AC45" s="12">
        <f>delta_v_normalisé!AC45*384748000/86400/27.321582</f>
        <v>0</v>
      </c>
      <c r="AD45" s="12">
        <f>delta_v_normalisé!AD45*384748000/86400/27.321582</f>
        <v>0</v>
      </c>
      <c r="AE45" s="12">
        <f>delta_v_normalisé!AE45*384748000/86400/27.321582</f>
        <v>0</v>
      </c>
      <c r="AF45" s="12">
        <f>delta_v_normalisé!AF45*384748000/86400/27.321582</f>
        <v>0</v>
      </c>
      <c r="AG45" s="12">
        <f>delta_v_normalisé!AG45*384748000/86400/27.321582</f>
        <v>0</v>
      </c>
      <c r="AH45" s="12">
        <f>delta_v_normalisé!AH45*384748000/86400/27.321582</f>
        <v>0</v>
      </c>
      <c r="AI45" s="12">
        <f>delta_v_normalisé!AI45*384748000/86400/27.321582</f>
        <v>0</v>
      </c>
      <c r="AJ45" s="12">
        <f>delta_v_normalisé!AJ45*384748000/86400/27.321582</f>
        <v>0</v>
      </c>
      <c r="AK45" s="12">
        <f>delta_v_normalisé!AK45*384748000/86400/27.321582</f>
        <v>0</v>
      </c>
      <c r="AL45" s="12">
        <f>delta_v_normalisé!AL45*384748000/86400/27.321582</f>
        <v>0</v>
      </c>
      <c r="AM45" s="12">
        <f>delta_v_normalisé!AM45*384748000/86400/27.321582</f>
        <v>0</v>
      </c>
      <c r="AN45" s="12">
        <f>delta_v_normalisé!AN45*384748000/86400/27.321582</f>
        <v>0</v>
      </c>
      <c r="AO45" s="12">
        <f>delta_v_normalisé!AO45*384748000/86400/27.321582</f>
        <v>0</v>
      </c>
      <c r="AP45" s="12">
        <f>delta_v_normalisé!AP45*384748000/86400/27.321582</f>
        <v>0</v>
      </c>
      <c r="AQ45" s="12">
        <f>delta_v_normalisé!AQ45*384748000/86400/27.321582</f>
        <v>319.77085386211331</v>
      </c>
      <c r="AR45" s="12">
        <f>delta_v_normalisé!AR45*384748000/86400/27.321582</f>
        <v>0</v>
      </c>
      <c r="AS45" s="12">
        <f>delta_v_normalisé!AS45*384748000/86400/27.321582</f>
        <v>0</v>
      </c>
      <c r="AT45" s="12">
        <f>delta_v_normalisé!AT45*384748000/86400/27.321582</f>
        <v>0</v>
      </c>
      <c r="AU45" s="12">
        <f>delta_v_normalisé!AU45*384748000/86400/27.321582</f>
        <v>0</v>
      </c>
      <c r="AV45" s="12">
        <f>delta_v_normalisé!AV45*384748000/86400/27.321582</f>
        <v>0</v>
      </c>
    </row>
    <row r="46" spans="1:48" x14ac:dyDescent="0.2">
      <c r="A46" s="12">
        <f>delta_v_normalisé!A46*384748000/86400/27.321582</f>
        <v>0</v>
      </c>
      <c r="B46" s="12">
        <f>delta_v_normalisé!B46*384748000/86400/27.321582</f>
        <v>0</v>
      </c>
      <c r="C46" s="12">
        <f>delta_v_normalisé!C46*384748000/86400/27.321582</f>
        <v>0</v>
      </c>
      <c r="D46" s="12">
        <f>delta_v_normalisé!D46*384748000/86400/27.321582</f>
        <v>0</v>
      </c>
      <c r="E46" s="12">
        <f>delta_v_normalisé!E46*384748000/86400/27.321582</f>
        <v>0</v>
      </c>
      <c r="F46" s="12">
        <f>delta_v_normalisé!F46*384748000/86400/27.321582</f>
        <v>0</v>
      </c>
      <c r="G46" s="12">
        <f>delta_v_normalisé!G46*384748000/86400/27.321582</f>
        <v>0</v>
      </c>
      <c r="H46" s="12">
        <f>delta_v_normalisé!H46*384748000/86400/27.321582</f>
        <v>0</v>
      </c>
      <c r="I46" s="12">
        <f>delta_v_normalisé!I46*384748000/86400/27.321582</f>
        <v>0</v>
      </c>
      <c r="J46" s="12">
        <f>delta_v_normalisé!J46*384748000/86400/27.321582</f>
        <v>0</v>
      </c>
      <c r="K46" s="12">
        <f>delta_v_normalisé!K46*384748000/86400/27.321582</f>
        <v>0</v>
      </c>
      <c r="L46" s="12">
        <f>delta_v_normalisé!L46*384748000/86400/27.321582</f>
        <v>0</v>
      </c>
      <c r="M46" s="12">
        <f>delta_v_normalisé!M46*384748000/86400/27.321582</f>
        <v>0</v>
      </c>
      <c r="N46" s="12">
        <f>delta_v_normalisé!N46*384748000/86400/27.321582</f>
        <v>0</v>
      </c>
      <c r="O46" s="12">
        <f>delta_v_normalisé!O46*384748000/86400/27.321582</f>
        <v>0</v>
      </c>
      <c r="P46" s="12">
        <f>delta_v_normalisé!P46*384748000/86400/27.321582</f>
        <v>0</v>
      </c>
      <c r="Q46" s="12">
        <f>delta_v_normalisé!Q46*384748000/86400/27.321582</f>
        <v>0</v>
      </c>
      <c r="R46" s="12">
        <f>delta_v_normalisé!R46*384748000/86400/27.321582</f>
        <v>0</v>
      </c>
      <c r="S46" s="12">
        <f>delta_v_normalisé!S46*384748000/86400/27.321582</f>
        <v>0</v>
      </c>
      <c r="T46" s="12">
        <f>delta_v_normalisé!T46*384748000/86400/27.321582</f>
        <v>0</v>
      </c>
      <c r="U46" s="12">
        <f>delta_v_normalisé!U46*384748000/86400/27.321582</f>
        <v>0</v>
      </c>
      <c r="V46" s="12">
        <f>delta_v_normalisé!V46*384748000/86400/27.321582</f>
        <v>0</v>
      </c>
      <c r="W46" s="12">
        <f>delta_v_normalisé!W46*384748000/86400/27.321582</f>
        <v>0</v>
      </c>
      <c r="X46" s="12">
        <f>delta_v_normalisé!X46*384748000/86400/27.321582</f>
        <v>0</v>
      </c>
      <c r="Y46" s="12">
        <f>delta_v_normalisé!Y46*384748000/86400/27.321582</f>
        <v>0</v>
      </c>
      <c r="Z46" s="12">
        <f>delta_v_normalisé!Z46*384748000/86400/27.321582</f>
        <v>0</v>
      </c>
      <c r="AA46" s="12">
        <f>delta_v_normalisé!AA46*384748000/86400/27.321582</f>
        <v>0</v>
      </c>
      <c r="AB46" s="12">
        <f>delta_v_normalisé!AB46*384748000/86400/27.321582</f>
        <v>0</v>
      </c>
      <c r="AC46" s="12">
        <f>delta_v_normalisé!AC46*384748000/86400/27.321582</f>
        <v>0</v>
      </c>
      <c r="AD46" s="12">
        <f>delta_v_normalisé!AD46*384748000/86400/27.321582</f>
        <v>0</v>
      </c>
      <c r="AE46" s="12">
        <f>delta_v_normalisé!AE46*384748000/86400/27.321582</f>
        <v>0</v>
      </c>
      <c r="AF46" s="12">
        <f>delta_v_normalisé!AF46*384748000/86400/27.321582</f>
        <v>0</v>
      </c>
      <c r="AG46" s="12">
        <f>delta_v_normalisé!AG46*384748000/86400/27.321582</f>
        <v>0</v>
      </c>
      <c r="AH46" s="12">
        <f>delta_v_normalisé!AH46*384748000/86400/27.321582</f>
        <v>0</v>
      </c>
      <c r="AI46" s="12">
        <f>delta_v_normalisé!AI46*384748000/86400/27.321582</f>
        <v>0</v>
      </c>
      <c r="AJ46" s="12">
        <f>delta_v_normalisé!AJ46*384748000/86400/27.321582</f>
        <v>0</v>
      </c>
      <c r="AK46" s="12">
        <f>delta_v_normalisé!AK46*384748000/86400/27.321582</f>
        <v>0</v>
      </c>
      <c r="AL46" s="12">
        <f>delta_v_normalisé!AL46*384748000/86400/27.321582</f>
        <v>0</v>
      </c>
      <c r="AM46" s="12">
        <f>delta_v_normalisé!AM46*384748000/86400/27.321582</f>
        <v>0</v>
      </c>
      <c r="AN46" s="12">
        <f>delta_v_normalisé!AN46*384748000/86400/27.321582</f>
        <v>0</v>
      </c>
      <c r="AO46" s="12">
        <f>delta_v_normalisé!AO46*384748000/86400/27.321582</f>
        <v>0</v>
      </c>
      <c r="AP46" s="12">
        <f>delta_v_normalisé!AP46*384748000/86400/27.321582</f>
        <v>0</v>
      </c>
      <c r="AQ46" s="12">
        <f>delta_v_normalisé!AQ46*384748000/86400/27.321582</f>
        <v>0</v>
      </c>
      <c r="AR46" s="12">
        <f>delta_v_normalisé!AR46*384748000/86400/27.321582</f>
        <v>301.99152654209007</v>
      </c>
      <c r="AS46" s="12">
        <f>delta_v_normalisé!AS46*384748000/86400/27.321582</f>
        <v>0</v>
      </c>
      <c r="AT46" s="12">
        <f>delta_v_normalisé!AT46*384748000/86400/27.321582</f>
        <v>0</v>
      </c>
      <c r="AU46" s="12">
        <f>delta_v_normalisé!AU46*384748000/86400/27.321582</f>
        <v>0</v>
      </c>
      <c r="AV46" s="12">
        <f>delta_v_normalisé!AV46*384748000/86400/27.321582</f>
        <v>0</v>
      </c>
    </row>
    <row r="47" spans="1:48" x14ac:dyDescent="0.2">
      <c r="A47" s="12">
        <f>delta_v_normalisé!A47*384748000/86400/27.321582</f>
        <v>0</v>
      </c>
      <c r="B47" s="12">
        <f>delta_v_normalisé!B47*384748000/86400/27.321582</f>
        <v>0</v>
      </c>
      <c r="C47" s="12">
        <f>delta_v_normalisé!C47*384748000/86400/27.321582</f>
        <v>0</v>
      </c>
      <c r="D47" s="12">
        <f>delta_v_normalisé!D47*384748000/86400/27.321582</f>
        <v>0</v>
      </c>
      <c r="E47" s="12">
        <f>delta_v_normalisé!E47*384748000/86400/27.321582</f>
        <v>0</v>
      </c>
      <c r="F47" s="12">
        <f>delta_v_normalisé!F47*384748000/86400/27.321582</f>
        <v>0</v>
      </c>
      <c r="G47" s="12">
        <f>delta_v_normalisé!G47*384748000/86400/27.321582</f>
        <v>0</v>
      </c>
      <c r="H47" s="12">
        <f>delta_v_normalisé!H47*384748000/86400/27.321582</f>
        <v>0</v>
      </c>
      <c r="I47" s="12">
        <f>delta_v_normalisé!I47*384748000/86400/27.321582</f>
        <v>0</v>
      </c>
      <c r="J47" s="12">
        <f>delta_v_normalisé!J47*384748000/86400/27.321582</f>
        <v>0</v>
      </c>
      <c r="K47" s="12">
        <f>delta_v_normalisé!K47*384748000/86400/27.321582</f>
        <v>0</v>
      </c>
      <c r="L47" s="12">
        <f>delta_v_normalisé!L47*384748000/86400/27.321582</f>
        <v>0</v>
      </c>
      <c r="M47" s="12">
        <f>delta_v_normalisé!M47*384748000/86400/27.321582</f>
        <v>0</v>
      </c>
      <c r="N47" s="12">
        <f>delta_v_normalisé!N47*384748000/86400/27.321582</f>
        <v>0</v>
      </c>
      <c r="O47" s="12">
        <f>delta_v_normalisé!O47*384748000/86400/27.321582</f>
        <v>0</v>
      </c>
      <c r="P47" s="12">
        <f>delta_v_normalisé!P47*384748000/86400/27.321582</f>
        <v>0</v>
      </c>
      <c r="Q47" s="12">
        <f>delta_v_normalisé!Q47*384748000/86400/27.321582</f>
        <v>0</v>
      </c>
      <c r="R47" s="12">
        <f>delta_v_normalisé!R47*384748000/86400/27.321582</f>
        <v>0</v>
      </c>
      <c r="S47" s="12">
        <f>delta_v_normalisé!S47*384748000/86400/27.321582</f>
        <v>0</v>
      </c>
      <c r="T47" s="12">
        <f>delta_v_normalisé!T47*384748000/86400/27.321582</f>
        <v>0</v>
      </c>
      <c r="U47" s="12">
        <f>delta_v_normalisé!U47*384748000/86400/27.321582</f>
        <v>0</v>
      </c>
      <c r="V47" s="12">
        <f>delta_v_normalisé!V47*384748000/86400/27.321582</f>
        <v>0</v>
      </c>
      <c r="W47" s="12">
        <f>delta_v_normalisé!W47*384748000/86400/27.321582</f>
        <v>0</v>
      </c>
      <c r="X47" s="12">
        <f>delta_v_normalisé!X47*384748000/86400/27.321582</f>
        <v>0</v>
      </c>
      <c r="Y47" s="12">
        <f>delta_v_normalisé!Y47*384748000/86400/27.321582</f>
        <v>0</v>
      </c>
      <c r="Z47" s="12">
        <f>delta_v_normalisé!Z47*384748000/86400/27.321582</f>
        <v>0</v>
      </c>
      <c r="AA47" s="12">
        <f>delta_v_normalisé!AA47*384748000/86400/27.321582</f>
        <v>0</v>
      </c>
      <c r="AB47" s="12">
        <f>delta_v_normalisé!AB47*384748000/86400/27.321582</f>
        <v>0</v>
      </c>
      <c r="AC47" s="12">
        <f>delta_v_normalisé!AC47*384748000/86400/27.321582</f>
        <v>0</v>
      </c>
      <c r="AD47" s="12">
        <f>delta_v_normalisé!AD47*384748000/86400/27.321582</f>
        <v>0</v>
      </c>
      <c r="AE47" s="12">
        <f>delta_v_normalisé!AE47*384748000/86400/27.321582</f>
        <v>0</v>
      </c>
      <c r="AF47" s="12">
        <f>delta_v_normalisé!AF47*384748000/86400/27.321582</f>
        <v>0</v>
      </c>
      <c r="AG47" s="12">
        <f>delta_v_normalisé!AG47*384748000/86400/27.321582</f>
        <v>0</v>
      </c>
      <c r="AH47" s="12">
        <f>delta_v_normalisé!AH47*384748000/86400/27.321582</f>
        <v>0</v>
      </c>
      <c r="AI47" s="12">
        <f>delta_v_normalisé!AI47*384748000/86400/27.321582</f>
        <v>0</v>
      </c>
      <c r="AJ47" s="12">
        <f>delta_v_normalisé!AJ47*384748000/86400/27.321582</f>
        <v>0</v>
      </c>
      <c r="AK47" s="12">
        <f>delta_v_normalisé!AK47*384748000/86400/27.321582</f>
        <v>0</v>
      </c>
      <c r="AL47" s="12">
        <f>delta_v_normalisé!AL47*384748000/86400/27.321582</f>
        <v>0</v>
      </c>
      <c r="AM47" s="12">
        <f>delta_v_normalisé!AM47*384748000/86400/27.321582</f>
        <v>0</v>
      </c>
      <c r="AN47" s="12">
        <f>delta_v_normalisé!AN47*384748000/86400/27.321582</f>
        <v>0</v>
      </c>
      <c r="AO47" s="12">
        <f>delta_v_normalisé!AO47*384748000/86400/27.321582</f>
        <v>0</v>
      </c>
      <c r="AP47" s="12">
        <f>delta_v_normalisé!AP47*384748000/86400/27.321582</f>
        <v>0</v>
      </c>
      <c r="AQ47" s="12">
        <f>delta_v_normalisé!AQ47*384748000/86400/27.321582</f>
        <v>0</v>
      </c>
      <c r="AR47" s="12">
        <f>delta_v_normalisé!AR47*384748000/86400/27.321582</f>
        <v>0</v>
      </c>
      <c r="AS47" s="12">
        <f>delta_v_normalisé!AS47*384748000/86400/27.321582</f>
        <v>328.30619025534151</v>
      </c>
      <c r="AT47" s="12">
        <f>delta_v_normalisé!AT47*384748000/86400/27.321582</f>
        <v>0</v>
      </c>
      <c r="AU47" s="12">
        <f>delta_v_normalisé!AU47*384748000/86400/27.321582</f>
        <v>0</v>
      </c>
      <c r="AV47" s="12">
        <f>delta_v_normalisé!AV47*384748000/86400/27.321582</f>
        <v>0</v>
      </c>
    </row>
    <row r="48" spans="1:48" x14ac:dyDescent="0.2">
      <c r="A48" s="12">
        <f>delta_v_normalisé!A48*384748000/86400/27.321582</f>
        <v>0</v>
      </c>
      <c r="B48" s="12">
        <f>delta_v_normalisé!B48*384748000/86400/27.321582</f>
        <v>0</v>
      </c>
      <c r="C48" s="12">
        <f>delta_v_normalisé!C48*384748000/86400/27.321582</f>
        <v>0</v>
      </c>
      <c r="D48" s="12">
        <f>delta_v_normalisé!D48*384748000/86400/27.321582</f>
        <v>0</v>
      </c>
      <c r="E48" s="12">
        <f>delta_v_normalisé!E48*384748000/86400/27.321582</f>
        <v>0</v>
      </c>
      <c r="F48" s="12">
        <f>delta_v_normalisé!F48*384748000/86400/27.321582</f>
        <v>0</v>
      </c>
      <c r="G48" s="12">
        <f>delta_v_normalisé!G48*384748000/86400/27.321582</f>
        <v>0</v>
      </c>
      <c r="H48" s="12">
        <f>delta_v_normalisé!H48*384748000/86400/27.321582</f>
        <v>0</v>
      </c>
      <c r="I48" s="12">
        <f>delta_v_normalisé!I48*384748000/86400/27.321582</f>
        <v>0</v>
      </c>
      <c r="J48" s="12">
        <f>delta_v_normalisé!J48*384748000/86400/27.321582</f>
        <v>0</v>
      </c>
      <c r="K48" s="12">
        <f>delta_v_normalisé!K48*384748000/86400/27.321582</f>
        <v>0</v>
      </c>
      <c r="L48" s="12">
        <f>delta_v_normalisé!L48*384748000/86400/27.321582</f>
        <v>0</v>
      </c>
      <c r="M48" s="12">
        <f>delta_v_normalisé!M48*384748000/86400/27.321582</f>
        <v>0</v>
      </c>
      <c r="N48" s="12">
        <f>delta_v_normalisé!N48*384748000/86400/27.321582</f>
        <v>0</v>
      </c>
      <c r="O48" s="12">
        <f>delta_v_normalisé!O48*384748000/86400/27.321582</f>
        <v>0</v>
      </c>
      <c r="P48" s="12">
        <f>delta_v_normalisé!P48*384748000/86400/27.321582</f>
        <v>0</v>
      </c>
      <c r="Q48" s="12">
        <f>delta_v_normalisé!Q48*384748000/86400/27.321582</f>
        <v>0</v>
      </c>
      <c r="R48" s="12">
        <f>delta_v_normalisé!R48*384748000/86400/27.321582</f>
        <v>0</v>
      </c>
      <c r="S48" s="12">
        <f>delta_v_normalisé!S48*384748000/86400/27.321582</f>
        <v>0</v>
      </c>
      <c r="T48" s="12">
        <f>delta_v_normalisé!T48*384748000/86400/27.321582</f>
        <v>0</v>
      </c>
      <c r="U48" s="12">
        <f>delta_v_normalisé!U48*384748000/86400/27.321582</f>
        <v>0</v>
      </c>
      <c r="V48" s="12">
        <f>delta_v_normalisé!V48*384748000/86400/27.321582</f>
        <v>0</v>
      </c>
      <c r="W48" s="12">
        <f>delta_v_normalisé!W48*384748000/86400/27.321582</f>
        <v>0</v>
      </c>
      <c r="X48" s="12">
        <f>delta_v_normalisé!X48*384748000/86400/27.321582</f>
        <v>0</v>
      </c>
      <c r="Y48" s="12">
        <f>delta_v_normalisé!Y48*384748000/86400/27.321582</f>
        <v>0</v>
      </c>
      <c r="Z48" s="12">
        <f>delta_v_normalisé!Z48*384748000/86400/27.321582</f>
        <v>0</v>
      </c>
      <c r="AA48" s="12">
        <f>delta_v_normalisé!AA48*384748000/86400/27.321582</f>
        <v>0</v>
      </c>
      <c r="AB48" s="12">
        <f>delta_v_normalisé!AB48*384748000/86400/27.321582</f>
        <v>0</v>
      </c>
      <c r="AC48" s="12">
        <f>delta_v_normalisé!AC48*384748000/86400/27.321582</f>
        <v>0</v>
      </c>
      <c r="AD48" s="12">
        <f>delta_v_normalisé!AD48*384748000/86400/27.321582</f>
        <v>0</v>
      </c>
      <c r="AE48" s="12">
        <f>delta_v_normalisé!AE48*384748000/86400/27.321582</f>
        <v>0</v>
      </c>
      <c r="AF48" s="12">
        <f>delta_v_normalisé!AF48*384748000/86400/27.321582</f>
        <v>0</v>
      </c>
      <c r="AG48" s="12">
        <f>delta_v_normalisé!AG48*384748000/86400/27.321582</f>
        <v>0</v>
      </c>
      <c r="AH48" s="12">
        <f>delta_v_normalisé!AH48*384748000/86400/27.321582</f>
        <v>0</v>
      </c>
      <c r="AI48" s="12">
        <f>delta_v_normalisé!AI48*384748000/86400/27.321582</f>
        <v>0</v>
      </c>
      <c r="AJ48" s="12">
        <f>delta_v_normalisé!AJ48*384748000/86400/27.321582</f>
        <v>0</v>
      </c>
      <c r="AK48" s="12">
        <f>delta_v_normalisé!AK48*384748000/86400/27.321582</f>
        <v>0</v>
      </c>
      <c r="AL48" s="12">
        <f>delta_v_normalisé!AL48*384748000/86400/27.321582</f>
        <v>0</v>
      </c>
      <c r="AM48" s="12">
        <f>delta_v_normalisé!AM48*384748000/86400/27.321582</f>
        <v>0</v>
      </c>
      <c r="AN48" s="12">
        <f>delta_v_normalisé!AN48*384748000/86400/27.321582</f>
        <v>0</v>
      </c>
      <c r="AO48" s="12">
        <f>delta_v_normalisé!AO48*384748000/86400/27.321582</f>
        <v>0</v>
      </c>
      <c r="AP48" s="12">
        <f>delta_v_normalisé!AP48*384748000/86400/27.321582</f>
        <v>0</v>
      </c>
      <c r="AQ48" s="12">
        <f>delta_v_normalisé!AQ48*384748000/86400/27.321582</f>
        <v>0</v>
      </c>
      <c r="AR48" s="12">
        <f>delta_v_normalisé!AR48*384748000/86400/27.321582</f>
        <v>0</v>
      </c>
      <c r="AS48" s="12">
        <f>delta_v_normalisé!AS48*384748000/86400/27.321582</f>
        <v>0</v>
      </c>
      <c r="AT48" s="12">
        <f>delta_v_normalisé!AT48*384748000/86400/27.321582</f>
        <v>333.39025332768853</v>
      </c>
      <c r="AU48" s="12">
        <f>delta_v_normalisé!AU48*384748000/86400/27.321582</f>
        <v>0</v>
      </c>
      <c r="AV48" s="12">
        <f>delta_v_normalisé!AV48*384748000/86400/27.321582</f>
        <v>0</v>
      </c>
    </row>
    <row r="49" spans="1:49" x14ac:dyDescent="0.2">
      <c r="A49" s="12">
        <f>delta_v_normalisé!A49*384748000/86400/27.321582</f>
        <v>0</v>
      </c>
      <c r="B49" s="12">
        <f>delta_v_normalisé!B49*384748000/86400/27.321582</f>
        <v>0</v>
      </c>
      <c r="C49" s="12">
        <f>delta_v_normalisé!C49*384748000/86400/27.321582</f>
        <v>0</v>
      </c>
      <c r="D49" s="12">
        <f>delta_v_normalisé!D49*384748000/86400/27.321582</f>
        <v>0</v>
      </c>
      <c r="E49" s="12">
        <f>delta_v_normalisé!E49*384748000/86400/27.321582</f>
        <v>0</v>
      </c>
      <c r="F49" s="12">
        <f>delta_v_normalisé!F49*384748000/86400/27.321582</f>
        <v>0</v>
      </c>
      <c r="G49" s="12">
        <f>delta_v_normalisé!G49*384748000/86400/27.321582</f>
        <v>0</v>
      </c>
      <c r="H49" s="12">
        <f>delta_v_normalisé!H49*384748000/86400/27.321582</f>
        <v>0</v>
      </c>
      <c r="I49" s="12">
        <f>delta_v_normalisé!I49*384748000/86400/27.321582</f>
        <v>0</v>
      </c>
      <c r="J49" s="12">
        <f>delta_v_normalisé!J49*384748000/86400/27.321582</f>
        <v>0</v>
      </c>
      <c r="K49" s="12">
        <f>delta_v_normalisé!K49*384748000/86400/27.321582</f>
        <v>0</v>
      </c>
      <c r="L49" s="12">
        <f>delta_v_normalisé!L49*384748000/86400/27.321582</f>
        <v>0</v>
      </c>
      <c r="M49" s="12">
        <f>delta_v_normalisé!M49*384748000/86400/27.321582</f>
        <v>0</v>
      </c>
      <c r="N49" s="12">
        <f>delta_v_normalisé!N49*384748000/86400/27.321582</f>
        <v>0</v>
      </c>
      <c r="O49" s="12">
        <f>delta_v_normalisé!O49*384748000/86400/27.321582</f>
        <v>0</v>
      </c>
      <c r="P49" s="12">
        <f>delta_v_normalisé!P49*384748000/86400/27.321582</f>
        <v>0</v>
      </c>
      <c r="Q49" s="12">
        <f>delta_v_normalisé!Q49*384748000/86400/27.321582</f>
        <v>0</v>
      </c>
      <c r="R49" s="12">
        <f>delta_v_normalisé!R49*384748000/86400/27.321582</f>
        <v>0</v>
      </c>
      <c r="S49" s="12">
        <f>delta_v_normalisé!S49*384748000/86400/27.321582</f>
        <v>0</v>
      </c>
      <c r="T49" s="12">
        <f>delta_v_normalisé!T49*384748000/86400/27.321582</f>
        <v>0</v>
      </c>
      <c r="U49" s="12">
        <f>delta_v_normalisé!U49*384748000/86400/27.321582</f>
        <v>0</v>
      </c>
      <c r="V49" s="12">
        <f>delta_v_normalisé!V49*384748000/86400/27.321582</f>
        <v>0</v>
      </c>
      <c r="W49" s="12">
        <f>delta_v_normalisé!W49*384748000/86400/27.321582</f>
        <v>0</v>
      </c>
      <c r="X49" s="12">
        <f>delta_v_normalisé!X49*384748000/86400/27.321582</f>
        <v>0</v>
      </c>
      <c r="Y49" s="12">
        <f>delta_v_normalisé!Y49*384748000/86400/27.321582</f>
        <v>0</v>
      </c>
      <c r="Z49" s="12">
        <f>delta_v_normalisé!Z49*384748000/86400/27.321582</f>
        <v>0</v>
      </c>
      <c r="AA49" s="12">
        <f>delta_v_normalisé!AA49*384748000/86400/27.321582</f>
        <v>0</v>
      </c>
      <c r="AB49" s="12">
        <f>delta_v_normalisé!AB49*384748000/86400/27.321582</f>
        <v>0</v>
      </c>
      <c r="AC49" s="12">
        <f>delta_v_normalisé!AC49*384748000/86400/27.321582</f>
        <v>0</v>
      </c>
      <c r="AD49" s="12">
        <f>delta_v_normalisé!AD49*384748000/86400/27.321582</f>
        <v>0</v>
      </c>
      <c r="AE49" s="12">
        <f>delta_v_normalisé!AE49*384748000/86400/27.321582</f>
        <v>0</v>
      </c>
      <c r="AF49" s="12">
        <f>delta_v_normalisé!AF49*384748000/86400/27.321582</f>
        <v>0</v>
      </c>
      <c r="AG49" s="12">
        <f>delta_v_normalisé!AG49*384748000/86400/27.321582</f>
        <v>0</v>
      </c>
      <c r="AH49" s="12">
        <f>delta_v_normalisé!AH49*384748000/86400/27.321582</f>
        <v>0</v>
      </c>
      <c r="AI49" s="12">
        <f>delta_v_normalisé!AI49*384748000/86400/27.321582</f>
        <v>0</v>
      </c>
      <c r="AJ49" s="12">
        <f>delta_v_normalisé!AJ49*384748000/86400/27.321582</f>
        <v>0</v>
      </c>
      <c r="AK49" s="12">
        <f>delta_v_normalisé!AK49*384748000/86400/27.321582</f>
        <v>0</v>
      </c>
      <c r="AL49" s="12">
        <f>delta_v_normalisé!AL49*384748000/86400/27.321582</f>
        <v>0</v>
      </c>
      <c r="AM49" s="12">
        <f>delta_v_normalisé!AM49*384748000/86400/27.321582</f>
        <v>0</v>
      </c>
      <c r="AN49" s="12">
        <f>delta_v_normalisé!AN49*384748000/86400/27.321582</f>
        <v>0</v>
      </c>
      <c r="AO49" s="12">
        <f>delta_v_normalisé!AO49*384748000/86400/27.321582</f>
        <v>0</v>
      </c>
      <c r="AP49" s="12">
        <f>delta_v_normalisé!AP49*384748000/86400/27.321582</f>
        <v>0</v>
      </c>
      <c r="AQ49" s="12">
        <f>delta_v_normalisé!AQ49*384748000/86400/27.321582</f>
        <v>0</v>
      </c>
      <c r="AR49" s="12">
        <f>delta_v_normalisé!AR49*384748000/86400/27.321582</f>
        <v>0</v>
      </c>
      <c r="AS49" s="12">
        <f>delta_v_normalisé!AS49*384748000/86400/27.321582</f>
        <v>0</v>
      </c>
      <c r="AT49" s="12">
        <f>delta_v_normalisé!AT49*384748000/86400/27.321582</f>
        <v>0</v>
      </c>
      <c r="AU49" s="12">
        <f>delta_v_normalisé!AU49*384748000/86400/27.321582</f>
        <v>325.27661512930246</v>
      </c>
      <c r="AV49" s="12">
        <f>delta_v_normalisé!AV49*384748000/86400/27.321582</f>
        <v>0</v>
      </c>
    </row>
    <row r="50" spans="1:49" x14ac:dyDescent="0.2">
      <c r="A50" s="12">
        <f>delta_v_normalisé!A50*384748000/86400/27.321582</f>
        <v>0</v>
      </c>
      <c r="B50" s="12">
        <f>delta_v_normalisé!B50*384748000/86400/27.321582</f>
        <v>0</v>
      </c>
      <c r="C50" s="12">
        <f>delta_v_normalisé!C50*384748000/86400/27.321582</f>
        <v>0</v>
      </c>
      <c r="D50" s="12">
        <f>delta_v_normalisé!D50*384748000/86400/27.321582</f>
        <v>0</v>
      </c>
      <c r="E50" s="12">
        <f>delta_v_normalisé!E50*384748000/86400/27.321582</f>
        <v>0</v>
      </c>
      <c r="F50" s="12">
        <f>delta_v_normalisé!F50*384748000/86400/27.321582</f>
        <v>0</v>
      </c>
      <c r="G50" s="12">
        <f>delta_v_normalisé!G50*384748000/86400/27.321582</f>
        <v>0</v>
      </c>
      <c r="H50" s="12">
        <f>delta_v_normalisé!H50*384748000/86400/27.321582</f>
        <v>0</v>
      </c>
      <c r="I50" s="12">
        <f>delta_v_normalisé!I50*384748000/86400/27.321582</f>
        <v>0</v>
      </c>
      <c r="J50" s="12">
        <f>delta_v_normalisé!J50*384748000/86400/27.321582</f>
        <v>0</v>
      </c>
      <c r="K50" s="12">
        <f>delta_v_normalisé!K50*384748000/86400/27.321582</f>
        <v>0</v>
      </c>
      <c r="L50" s="12">
        <f>delta_v_normalisé!L50*384748000/86400/27.321582</f>
        <v>0</v>
      </c>
      <c r="M50" s="12">
        <f>delta_v_normalisé!M50*384748000/86400/27.321582</f>
        <v>0</v>
      </c>
      <c r="N50" s="12">
        <f>delta_v_normalisé!N50*384748000/86400/27.321582</f>
        <v>0</v>
      </c>
      <c r="O50" s="12">
        <f>delta_v_normalisé!O50*384748000/86400/27.321582</f>
        <v>0</v>
      </c>
      <c r="P50" s="12">
        <f>delta_v_normalisé!P50*384748000/86400/27.321582</f>
        <v>0</v>
      </c>
      <c r="Q50" s="12">
        <f>delta_v_normalisé!Q50*384748000/86400/27.321582</f>
        <v>0</v>
      </c>
      <c r="R50" s="12">
        <f>delta_v_normalisé!R50*384748000/86400/27.321582</f>
        <v>0</v>
      </c>
      <c r="S50" s="12">
        <f>delta_v_normalisé!S50*384748000/86400/27.321582</f>
        <v>0</v>
      </c>
      <c r="T50" s="12">
        <f>delta_v_normalisé!T50*384748000/86400/27.321582</f>
        <v>0</v>
      </c>
      <c r="U50" s="12">
        <f>delta_v_normalisé!U50*384748000/86400/27.321582</f>
        <v>0</v>
      </c>
      <c r="V50" s="12">
        <f>delta_v_normalisé!V50*384748000/86400/27.321582</f>
        <v>0</v>
      </c>
      <c r="W50" s="12">
        <f>delta_v_normalisé!W50*384748000/86400/27.321582</f>
        <v>0</v>
      </c>
      <c r="X50" s="12">
        <f>delta_v_normalisé!X50*384748000/86400/27.321582</f>
        <v>0</v>
      </c>
      <c r="Y50" s="12">
        <f>delta_v_normalisé!Y50*384748000/86400/27.321582</f>
        <v>0</v>
      </c>
      <c r="Z50" s="12">
        <f>delta_v_normalisé!Z50*384748000/86400/27.321582</f>
        <v>0</v>
      </c>
      <c r="AA50" s="12">
        <f>delta_v_normalisé!AA50*384748000/86400/27.321582</f>
        <v>0</v>
      </c>
      <c r="AB50" s="12">
        <f>delta_v_normalisé!AB50*384748000/86400/27.321582</f>
        <v>0</v>
      </c>
      <c r="AC50" s="12">
        <f>delta_v_normalisé!AC50*384748000/86400/27.321582</f>
        <v>0</v>
      </c>
      <c r="AD50" s="12">
        <f>delta_v_normalisé!AD50*384748000/86400/27.321582</f>
        <v>0</v>
      </c>
      <c r="AE50" s="12">
        <f>delta_v_normalisé!AE50*384748000/86400/27.321582</f>
        <v>0</v>
      </c>
      <c r="AF50" s="12">
        <f>delta_v_normalisé!AF50*384748000/86400/27.321582</f>
        <v>0</v>
      </c>
      <c r="AG50" s="12">
        <f>delta_v_normalisé!AG50*384748000/86400/27.321582</f>
        <v>0</v>
      </c>
      <c r="AH50" s="12">
        <f>delta_v_normalisé!AH50*384748000/86400/27.321582</f>
        <v>0</v>
      </c>
      <c r="AI50" s="12">
        <f>delta_v_normalisé!AI50*384748000/86400/27.321582</f>
        <v>0</v>
      </c>
      <c r="AJ50" s="12">
        <f>delta_v_normalisé!AJ50*384748000/86400/27.321582</f>
        <v>0</v>
      </c>
      <c r="AK50" s="12">
        <f>delta_v_normalisé!AK50*384748000/86400/27.321582</f>
        <v>0</v>
      </c>
      <c r="AL50" s="12">
        <f>delta_v_normalisé!AL50*384748000/86400/27.321582</f>
        <v>0</v>
      </c>
      <c r="AM50" s="12">
        <f>delta_v_normalisé!AM50*384748000/86400/27.321582</f>
        <v>0</v>
      </c>
      <c r="AN50" s="12">
        <f>delta_v_normalisé!AN50*384748000/86400/27.321582</f>
        <v>0</v>
      </c>
      <c r="AO50" s="12">
        <f>delta_v_normalisé!AO50*384748000/86400/27.321582</f>
        <v>0</v>
      </c>
      <c r="AP50" s="12">
        <f>delta_v_normalisé!AP50*384748000/86400/27.321582</f>
        <v>0</v>
      </c>
      <c r="AQ50" s="12">
        <f>delta_v_normalisé!AQ50*384748000/86400/27.321582</f>
        <v>0</v>
      </c>
      <c r="AR50" s="12">
        <f>delta_v_normalisé!AR50*384748000/86400/27.321582</f>
        <v>0</v>
      </c>
      <c r="AS50" s="12">
        <f>delta_v_normalisé!AS50*384748000/86400/27.321582</f>
        <v>0</v>
      </c>
      <c r="AT50" s="12">
        <f>delta_v_normalisé!AT50*384748000/86400/27.321582</f>
        <v>0</v>
      </c>
      <c r="AU50" s="12">
        <f>delta_v_normalisé!AU50*384748000/86400/27.321582</f>
        <v>0</v>
      </c>
      <c r="AV50" s="12">
        <f>delta_v_normalisé!AV50*384748000/86400/27.321582</f>
        <v>343.39593741923528</v>
      </c>
      <c r="AW50" s="8"/>
    </row>
    <row r="51" spans="1:49" x14ac:dyDescent="0.2">
      <c r="AV51" s="8"/>
      <c r="AW5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9B85-93C1-4F46-87F2-2AE2C8D85D4F}">
  <dimension ref="A1:AX50"/>
  <sheetViews>
    <sheetView zoomScale="70" zoomScaleNormal="70" workbookViewId="0">
      <selection activeCell="C6" sqref="C6"/>
    </sheetView>
  </sheetViews>
  <sheetFormatPr baseColWidth="10" defaultRowHeight="15" x14ac:dyDescent="0.25"/>
  <sheetData>
    <row r="1" spans="1:50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</row>
    <row r="2" spans="1:50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</row>
    <row r="3" spans="1:50" x14ac:dyDescent="0.25">
      <c r="A3">
        <v>1.2195639031379699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</row>
    <row r="4" spans="1:50" x14ac:dyDescent="0.25">
      <c r="A4">
        <v>0</v>
      </c>
      <c r="B4">
        <v>1.3394155937743299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</row>
    <row r="5" spans="1:50" x14ac:dyDescent="0.25">
      <c r="A5">
        <v>0</v>
      </c>
      <c r="B5">
        <v>0</v>
      </c>
      <c r="C5">
        <v>0.96951094827002304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</row>
    <row r="6" spans="1:50" x14ac:dyDescent="0.25">
      <c r="A6">
        <v>0</v>
      </c>
      <c r="B6">
        <v>0</v>
      </c>
      <c r="C6">
        <v>0</v>
      </c>
      <c r="D6">
        <v>0.99596636964927798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</row>
    <row r="7" spans="1:50" x14ac:dyDescent="0.25">
      <c r="A7">
        <v>0</v>
      </c>
      <c r="B7">
        <v>0</v>
      </c>
      <c r="C7">
        <v>0</v>
      </c>
      <c r="D7">
        <v>0</v>
      </c>
      <c r="E7">
        <v>1.6750375459856299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</row>
    <row r="8" spans="1:50" x14ac:dyDescent="0.25">
      <c r="A8">
        <v>0</v>
      </c>
      <c r="B8">
        <v>0</v>
      </c>
      <c r="C8">
        <v>0</v>
      </c>
      <c r="D8">
        <v>0</v>
      </c>
      <c r="E8">
        <v>0</v>
      </c>
      <c r="F8">
        <v>1.59257149693498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</row>
    <row r="9" spans="1:50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1.14164602606673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</row>
    <row r="10" spans="1:50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1.6205722792319599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</row>
    <row r="11" spans="1:50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1.0989701187790499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</row>
    <row r="12" spans="1:50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1.5646669586236099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</row>
    <row r="13" spans="1:50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1.2880596529255599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</row>
    <row r="14" spans="1:50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1.6171767729481701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</row>
    <row r="15" spans="1:50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1.5735274759900399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</row>
    <row r="16" spans="1:50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1.7957347097849701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</row>
    <row r="17" spans="1:50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1.79121225172806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</row>
    <row r="18" spans="1:50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2.2069382171916798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</row>
    <row r="19" spans="1:50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1.90791264897612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</row>
    <row r="20" spans="1:50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2.74607908475399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</row>
    <row r="21" spans="1:50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1.9637880459736099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</row>
    <row r="22" spans="1:50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3.1387817509987199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</row>
    <row r="23" spans="1:50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1.98403809359131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</row>
    <row r="24" spans="1:50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3.19837691447679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</row>
    <row r="25" spans="1:50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1.97248064901658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</row>
    <row r="26" spans="1:50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2.95192922796448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1.87676468021608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</row>
    <row r="28" spans="1:50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2.6539874931415501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</row>
    <row r="29" spans="1:50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1.6773010022711099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</row>
    <row r="30" spans="1:50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2.3591875496366499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</row>
    <row r="31" spans="1:50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1.38121524620026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</row>
    <row r="32" spans="1:50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2.0290984112908701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</row>
    <row r="33" spans="1:50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1.19217325302364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</row>
    <row r="34" spans="1:50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1.64108054309748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</row>
    <row r="35" spans="1:50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1.1416798901994001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</row>
    <row r="36" spans="1:50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2.0064793541143202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</row>
    <row r="37" spans="1:50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1.0717227175480699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</row>
    <row r="38" spans="1:50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1.4183376817512601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</row>
    <row r="39" spans="1:50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1.0167582416235801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</row>
    <row r="40" spans="1:50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1.38535760002866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</row>
    <row r="41" spans="1:50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1.3445913383217201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</row>
    <row r="42" spans="1:50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1.30220767114764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</row>
    <row r="43" spans="1:50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1.75355605252812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</row>
    <row r="44" spans="1:50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1.5222759914758699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</row>
    <row r="45" spans="1:50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1.96192359745164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</row>
    <row r="46" spans="1:50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1.8528402291750199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</row>
    <row r="47" spans="1:50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2.01429134041449</v>
      </c>
      <c r="AT47">
        <v>0</v>
      </c>
      <c r="AU47">
        <v>0</v>
      </c>
      <c r="AV47">
        <v>0</v>
      </c>
      <c r="AW47">
        <v>0</v>
      </c>
      <c r="AX47">
        <v>0</v>
      </c>
    </row>
    <row r="48" spans="1:50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2.0454841248477802</v>
      </c>
      <c r="AU48">
        <v>0</v>
      </c>
      <c r="AV48">
        <v>0</v>
      </c>
      <c r="AW48">
        <v>0</v>
      </c>
      <c r="AX48">
        <v>0</v>
      </c>
    </row>
    <row r="49" spans="1:50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1.99570367096857</v>
      </c>
      <c r="AV49">
        <v>0</v>
      </c>
      <c r="AW49">
        <v>0</v>
      </c>
      <c r="AX49">
        <v>0</v>
      </c>
    </row>
    <row r="50" spans="1:50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2.10687304597915</v>
      </c>
      <c r="AW50">
        <v>0</v>
      </c>
      <c r="AX5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delta_v</vt:lpstr>
      <vt:lpstr>delta_v_normalisé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physi</dc:creator>
  <cp:lastModifiedBy>physicgamer@outlook.fr</cp:lastModifiedBy>
  <dcterms:created xsi:type="dcterms:W3CDTF">2024-07-25T13:59:43Z</dcterms:created>
  <dcterms:modified xsi:type="dcterms:W3CDTF">2024-08-29T17:07:34Z</dcterms:modified>
</cp:coreProperties>
</file>