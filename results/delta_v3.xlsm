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Storage\PROG\julia\"/>
    </mc:Choice>
  </mc:AlternateContent>
  <xr:revisionPtr revIDLastSave="0" documentId="13_ncr:1_{1E071631-163C-4D87-B2C3-B82E93890908}" xr6:coauthVersionLast="47" xr6:coauthVersionMax="47" xr10:uidLastSave="{00000000-0000-0000-0000-000000000000}"/>
  <bookViews>
    <workbookView xWindow="0" yWindow="0" windowWidth="14400" windowHeight="17400" activeTab="1" xr2:uid="{807759E1-225D-4C71-96EC-019234880347}"/>
  </bookViews>
  <sheets>
    <sheet name="delta_v" sheetId="1" r:id="rId1"/>
    <sheet name="Feuil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8" i="2" l="1"/>
  <c r="B1" i="2" l="1"/>
  <c r="C1" i="2"/>
  <c r="D1" i="2"/>
  <c r="E1" i="2"/>
  <c r="F1" i="2"/>
  <c r="G1" i="2"/>
  <c r="H1" i="2"/>
  <c r="I1" i="2"/>
  <c r="J1" i="2"/>
  <c r="K1" i="2"/>
  <c r="L1" i="2"/>
  <c r="M1" i="2"/>
  <c r="N1" i="2"/>
  <c r="O1" i="2"/>
  <c r="P1" i="2"/>
  <c r="Q1" i="2"/>
  <c r="R1" i="2"/>
  <c r="S1" i="2"/>
  <c r="T1" i="2"/>
  <c r="U1" i="2"/>
  <c r="V1" i="2"/>
  <c r="W1" i="2"/>
  <c r="B2" i="2"/>
  <c r="C2" i="2"/>
  <c r="D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B3" i="2"/>
  <c r="C3" i="2"/>
  <c r="D3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B4" i="2"/>
  <c r="C4" i="2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B5" i="2"/>
  <c r="C5" i="2"/>
  <c r="D5" i="2"/>
  <c r="E5" i="2"/>
  <c r="F5" i="2"/>
  <c r="G5" i="2"/>
  <c r="H5" i="2"/>
  <c r="I5" i="2"/>
  <c r="J5" i="2"/>
  <c r="K5" i="2"/>
  <c r="L5" i="2"/>
  <c r="M5" i="2"/>
  <c r="N5" i="2"/>
  <c r="O5" i="2"/>
  <c r="P5" i="2"/>
  <c r="Q5" i="2"/>
  <c r="R5" i="2"/>
  <c r="S5" i="2"/>
  <c r="T5" i="2"/>
  <c r="U5" i="2"/>
  <c r="V5" i="2"/>
  <c r="W5" i="2"/>
  <c r="B6" i="2"/>
  <c r="C6" i="2"/>
  <c r="D6" i="2"/>
  <c r="E6" i="2"/>
  <c r="F6" i="2"/>
  <c r="G6" i="2"/>
  <c r="H6" i="2"/>
  <c r="I6" i="2"/>
  <c r="J6" i="2"/>
  <c r="K6" i="2"/>
  <c r="L6" i="2"/>
  <c r="M6" i="2"/>
  <c r="N6" i="2"/>
  <c r="O6" i="2"/>
  <c r="P6" i="2"/>
  <c r="Q6" i="2"/>
  <c r="R6" i="2"/>
  <c r="S6" i="2"/>
  <c r="T6" i="2"/>
  <c r="U6" i="2"/>
  <c r="V6" i="2"/>
  <c r="W6" i="2"/>
  <c r="B7" i="2"/>
  <c r="C7" i="2"/>
  <c r="D7" i="2"/>
  <c r="E7" i="2"/>
  <c r="F7" i="2"/>
  <c r="G7" i="2"/>
  <c r="H7" i="2"/>
  <c r="I7" i="2"/>
  <c r="J7" i="2"/>
  <c r="K7" i="2"/>
  <c r="L7" i="2"/>
  <c r="M7" i="2"/>
  <c r="N7" i="2"/>
  <c r="O7" i="2"/>
  <c r="P7" i="2"/>
  <c r="Q7" i="2"/>
  <c r="R7" i="2"/>
  <c r="S7" i="2"/>
  <c r="T7" i="2"/>
  <c r="U7" i="2"/>
  <c r="V7" i="2"/>
  <c r="W7" i="2"/>
  <c r="B8" i="2"/>
  <c r="C8" i="2"/>
  <c r="D8" i="2"/>
  <c r="E8" i="2"/>
  <c r="F8" i="2"/>
  <c r="G8" i="2"/>
  <c r="H8" i="2"/>
  <c r="I8" i="2"/>
  <c r="J8" i="2"/>
  <c r="K8" i="2"/>
  <c r="L8" i="2"/>
  <c r="M8" i="2"/>
  <c r="N8" i="2"/>
  <c r="O8" i="2"/>
  <c r="P8" i="2"/>
  <c r="Q8" i="2"/>
  <c r="R8" i="2"/>
  <c r="S8" i="2"/>
  <c r="T8" i="2"/>
  <c r="U8" i="2"/>
  <c r="V8" i="2"/>
  <c r="W8" i="2"/>
  <c r="B9" i="2"/>
  <c r="C9" i="2"/>
  <c r="D9" i="2"/>
  <c r="E9" i="2"/>
  <c r="F9" i="2"/>
  <c r="G9" i="2"/>
  <c r="H9" i="2"/>
  <c r="I9" i="2"/>
  <c r="J9" i="2"/>
  <c r="K9" i="2"/>
  <c r="L9" i="2"/>
  <c r="M9" i="2"/>
  <c r="N9" i="2"/>
  <c r="O9" i="2"/>
  <c r="P9" i="2"/>
  <c r="Q9" i="2"/>
  <c r="R9" i="2"/>
  <c r="S9" i="2"/>
  <c r="T9" i="2"/>
  <c r="U9" i="2"/>
  <c r="V9" i="2"/>
  <c r="W9" i="2"/>
  <c r="B10" i="2"/>
  <c r="C10" i="2"/>
  <c r="D10" i="2"/>
  <c r="E10" i="2"/>
  <c r="F10" i="2"/>
  <c r="G10" i="2"/>
  <c r="H10" i="2"/>
  <c r="I10" i="2"/>
  <c r="J10" i="2"/>
  <c r="K10" i="2"/>
  <c r="L10" i="2"/>
  <c r="M10" i="2"/>
  <c r="N10" i="2"/>
  <c r="O10" i="2"/>
  <c r="P10" i="2"/>
  <c r="Q10" i="2"/>
  <c r="R10" i="2"/>
  <c r="S10" i="2"/>
  <c r="T10" i="2"/>
  <c r="U10" i="2"/>
  <c r="V10" i="2"/>
  <c r="W10" i="2"/>
  <c r="B11" i="2"/>
  <c r="C11" i="2"/>
  <c r="D11" i="2"/>
  <c r="E11" i="2"/>
  <c r="F11" i="2"/>
  <c r="G11" i="2"/>
  <c r="H11" i="2"/>
  <c r="I11" i="2"/>
  <c r="J11" i="2"/>
  <c r="K11" i="2"/>
  <c r="L11" i="2"/>
  <c r="M11" i="2"/>
  <c r="N11" i="2"/>
  <c r="O11" i="2"/>
  <c r="P11" i="2"/>
  <c r="Q11" i="2"/>
  <c r="R11" i="2"/>
  <c r="S11" i="2"/>
  <c r="T11" i="2"/>
  <c r="U11" i="2"/>
  <c r="V11" i="2"/>
  <c r="W11" i="2"/>
  <c r="B12" i="2"/>
  <c r="C12" i="2"/>
  <c r="D12" i="2"/>
  <c r="E12" i="2"/>
  <c r="F12" i="2"/>
  <c r="G12" i="2"/>
  <c r="H12" i="2"/>
  <c r="I12" i="2"/>
  <c r="J12" i="2"/>
  <c r="K12" i="2"/>
  <c r="L12" i="2"/>
  <c r="M12" i="2"/>
  <c r="N12" i="2"/>
  <c r="O12" i="2"/>
  <c r="P12" i="2"/>
  <c r="Q12" i="2"/>
  <c r="R12" i="2"/>
  <c r="S12" i="2"/>
  <c r="T12" i="2"/>
  <c r="U12" i="2"/>
  <c r="V12" i="2"/>
  <c r="W12" i="2"/>
  <c r="B13" i="2"/>
  <c r="C13" i="2"/>
  <c r="D13" i="2"/>
  <c r="E13" i="2"/>
  <c r="F13" i="2"/>
  <c r="G13" i="2"/>
  <c r="H13" i="2"/>
  <c r="I13" i="2"/>
  <c r="J13" i="2"/>
  <c r="K13" i="2"/>
  <c r="L13" i="2"/>
  <c r="M13" i="2"/>
  <c r="N13" i="2"/>
  <c r="O13" i="2"/>
  <c r="P13" i="2"/>
  <c r="Q13" i="2"/>
  <c r="R13" i="2"/>
  <c r="S13" i="2"/>
  <c r="T13" i="2"/>
  <c r="U13" i="2"/>
  <c r="V13" i="2"/>
  <c r="W13" i="2"/>
  <c r="B14" i="2"/>
  <c r="C14" i="2"/>
  <c r="D14" i="2"/>
  <c r="E14" i="2"/>
  <c r="F14" i="2"/>
  <c r="G14" i="2"/>
  <c r="H14" i="2"/>
  <c r="I14" i="2"/>
  <c r="J14" i="2"/>
  <c r="K14" i="2"/>
  <c r="L14" i="2"/>
  <c r="M14" i="2"/>
  <c r="N14" i="2"/>
  <c r="O14" i="2"/>
  <c r="P14" i="2"/>
  <c r="Q14" i="2"/>
  <c r="R14" i="2"/>
  <c r="S14" i="2"/>
  <c r="T14" i="2"/>
  <c r="U14" i="2"/>
  <c r="V14" i="2"/>
  <c r="W14" i="2"/>
  <c r="B15" i="2"/>
  <c r="C15" i="2"/>
  <c r="D15" i="2"/>
  <c r="E15" i="2"/>
  <c r="F15" i="2"/>
  <c r="G15" i="2"/>
  <c r="H15" i="2"/>
  <c r="I15" i="2"/>
  <c r="J15" i="2"/>
  <c r="K15" i="2"/>
  <c r="L15" i="2"/>
  <c r="M15" i="2"/>
  <c r="N15" i="2"/>
  <c r="O15" i="2"/>
  <c r="P15" i="2"/>
  <c r="Q15" i="2"/>
  <c r="R15" i="2"/>
  <c r="S15" i="2"/>
  <c r="T15" i="2"/>
  <c r="U15" i="2"/>
  <c r="V15" i="2"/>
  <c r="W15" i="2"/>
  <c r="B16" i="2"/>
  <c r="C16" i="2"/>
  <c r="D16" i="2"/>
  <c r="E16" i="2"/>
  <c r="F16" i="2"/>
  <c r="G16" i="2"/>
  <c r="H16" i="2"/>
  <c r="I16" i="2"/>
  <c r="J16" i="2"/>
  <c r="K16" i="2"/>
  <c r="L16" i="2"/>
  <c r="M16" i="2"/>
  <c r="N16" i="2"/>
  <c r="O16" i="2"/>
  <c r="P16" i="2"/>
  <c r="Q16" i="2"/>
  <c r="R16" i="2"/>
  <c r="S16" i="2"/>
  <c r="T16" i="2"/>
  <c r="U16" i="2"/>
  <c r="V16" i="2"/>
  <c r="W16" i="2"/>
  <c r="B17" i="2"/>
  <c r="C17" i="2"/>
  <c r="D17" i="2"/>
  <c r="E17" i="2"/>
  <c r="F17" i="2"/>
  <c r="G17" i="2"/>
  <c r="H17" i="2"/>
  <c r="I17" i="2"/>
  <c r="J17" i="2"/>
  <c r="K17" i="2"/>
  <c r="L17" i="2"/>
  <c r="M17" i="2"/>
  <c r="N17" i="2"/>
  <c r="O17" i="2"/>
  <c r="P17" i="2"/>
  <c r="Q17" i="2"/>
  <c r="R17" i="2"/>
  <c r="S17" i="2"/>
  <c r="T17" i="2"/>
  <c r="U17" i="2"/>
  <c r="V17" i="2"/>
  <c r="W17" i="2"/>
  <c r="B18" i="2"/>
  <c r="C18" i="2"/>
  <c r="D18" i="2"/>
  <c r="E18" i="2"/>
  <c r="F18" i="2"/>
  <c r="G18" i="2"/>
  <c r="H18" i="2"/>
  <c r="I18" i="2"/>
  <c r="J18" i="2"/>
  <c r="K18" i="2"/>
  <c r="L18" i="2"/>
  <c r="M18" i="2"/>
  <c r="N18" i="2"/>
  <c r="O18" i="2"/>
  <c r="P18" i="2"/>
  <c r="Q18" i="2"/>
  <c r="R18" i="2"/>
  <c r="S18" i="2"/>
  <c r="T18" i="2"/>
  <c r="U18" i="2"/>
  <c r="V18" i="2"/>
  <c r="W18" i="2"/>
  <c r="B19" i="2"/>
  <c r="C19" i="2"/>
  <c r="D19" i="2"/>
  <c r="E19" i="2"/>
  <c r="F19" i="2"/>
  <c r="G19" i="2"/>
  <c r="H19" i="2"/>
  <c r="I19" i="2"/>
  <c r="J19" i="2"/>
  <c r="K19" i="2"/>
  <c r="L19" i="2"/>
  <c r="M19" i="2"/>
  <c r="N19" i="2"/>
  <c r="O19" i="2"/>
  <c r="P19" i="2"/>
  <c r="Q19" i="2"/>
  <c r="R19" i="2"/>
  <c r="S19" i="2"/>
  <c r="T19" i="2"/>
  <c r="U19" i="2"/>
  <c r="V19" i="2"/>
  <c r="W19" i="2"/>
  <c r="B20" i="2"/>
  <c r="C20" i="2"/>
  <c r="D20" i="2"/>
  <c r="E20" i="2"/>
  <c r="F20" i="2"/>
  <c r="G20" i="2"/>
  <c r="H20" i="2"/>
  <c r="I20" i="2"/>
  <c r="J20" i="2"/>
  <c r="K20" i="2"/>
  <c r="L20" i="2"/>
  <c r="M20" i="2"/>
  <c r="N20" i="2"/>
  <c r="O20" i="2"/>
  <c r="P20" i="2"/>
  <c r="Q20" i="2"/>
  <c r="R20" i="2"/>
  <c r="S20" i="2"/>
  <c r="T20" i="2"/>
  <c r="U20" i="2"/>
  <c r="V20" i="2"/>
  <c r="W20" i="2"/>
  <c r="B21" i="2"/>
  <c r="C21" i="2"/>
  <c r="D21" i="2"/>
  <c r="E21" i="2"/>
  <c r="F21" i="2"/>
  <c r="G21" i="2"/>
  <c r="H21" i="2"/>
  <c r="I21" i="2"/>
  <c r="J21" i="2"/>
  <c r="K21" i="2"/>
  <c r="L21" i="2"/>
  <c r="M21" i="2"/>
  <c r="N21" i="2"/>
  <c r="O21" i="2"/>
  <c r="P21" i="2"/>
  <c r="Q21" i="2"/>
  <c r="R21" i="2"/>
  <c r="S21" i="2"/>
  <c r="T21" i="2"/>
  <c r="U21" i="2"/>
  <c r="V21" i="2"/>
  <c r="W21" i="2"/>
  <c r="B22" i="2"/>
  <c r="C22" i="2"/>
  <c r="D22" i="2"/>
  <c r="E22" i="2"/>
  <c r="F22" i="2"/>
  <c r="G22" i="2"/>
  <c r="H22" i="2"/>
  <c r="I22" i="2"/>
  <c r="J22" i="2"/>
  <c r="K22" i="2"/>
  <c r="L22" i="2"/>
  <c r="M22" i="2"/>
  <c r="N22" i="2"/>
  <c r="O22" i="2"/>
  <c r="P22" i="2"/>
  <c r="Q22" i="2"/>
  <c r="R22" i="2"/>
  <c r="S22" i="2"/>
  <c r="T22" i="2"/>
  <c r="U22" i="2"/>
  <c r="V22" i="2"/>
  <c r="W22" i="2"/>
  <c r="B23" i="2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B24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1" i="2"/>
  <c r="G28" i="2"/>
  <c r="B28" i="2" l="1"/>
  <c r="B30" i="2" s="1"/>
  <c r="E28" i="2"/>
  <c r="E30" i="2" s="1"/>
  <c r="C28" i="2"/>
  <c r="C30" i="2" s="1"/>
  <c r="D30" i="2"/>
  <c r="B31" i="2" l="1"/>
  <c r="D31" i="2"/>
</calcChain>
</file>

<file path=xl/sharedStrings.xml><?xml version="1.0" encoding="utf-8"?>
<sst xmlns="http://schemas.openxmlformats.org/spreadsheetml/2006/main" count="6" uniqueCount="6">
  <si>
    <t>odd</t>
  </si>
  <si>
    <t>even</t>
  </si>
  <si>
    <t>1 on 3</t>
  </si>
  <si>
    <t>1 on 3 even</t>
  </si>
  <si>
    <t>obs</t>
  </si>
  <si>
    <t>DV per obs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</si>
</sst>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1" fontId="0" fillId="0" borderId="0" xfId="0" applyNumberFormat="1"/>
    <xf numFmtId="16" fontId="0" fillId="0" borderId="0" xfId="0" applyNumberFormat="1"/>
    <xf numFmtId="2" fontId="0" fillId="0" borderId="0" xfId="0" applyNumberFormat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879B85-93C1-4F46-87F2-2AE2C8D85D4F}">
  <dimension ref="A1:X24"/>
  <sheetViews>
    <sheetView workbookViewId="0">
      <selection activeCell="J30" sqref="J30"/>
    </sheetView>
  </sheetViews>
  <sheetFormatPr baseColWidth="10" defaultRowHeight="15" x14ac:dyDescent="0.25"/>
  <sheetData>
    <row r="1" spans="1:24" x14ac:dyDescent="0.25">
      <c r="A1" s="3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</row>
    <row r="2" spans="1:24" x14ac:dyDescent="0.25">
      <c r="A2" s="3">
        <v>0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R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</row>
    <row r="3" spans="1:24" x14ac:dyDescent="0.25">
      <c r="A3" s="3">
        <v>2.3143202177279698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</row>
    <row r="4" spans="1:24" x14ac:dyDescent="0.25">
      <c r="A4" s="3">
        <v>0.82775040414384804</v>
      </c>
      <c r="B4" s="3">
        <v>2.2743137328496998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</row>
    <row r="5" spans="1:24" x14ac:dyDescent="0.25">
      <c r="A5" s="3">
        <v>7.4244081121561702</v>
      </c>
      <c r="B5" s="3">
        <v>5.7361909922987797</v>
      </c>
      <c r="C5" s="3">
        <v>2.3915970192050899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</row>
    <row r="6" spans="1:24" x14ac:dyDescent="0.25">
      <c r="A6" s="3">
        <v>0</v>
      </c>
      <c r="B6" s="3">
        <v>7.2790898825596599</v>
      </c>
      <c r="C6" s="3">
        <v>1.0606493569515101</v>
      </c>
      <c r="D6" s="3">
        <v>2.3024212291524502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</row>
    <row r="7" spans="1:24" x14ac:dyDescent="0.25">
      <c r="A7" s="3">
        <v>0</v>
      </c>
      <c r="B7" s="3">
        <v>0</v>
      </c>
      <c r="C7" s="3">
        <v>7.3664973433960501</v>
      </c>
      <c r="D7" s="3">
        <v>8.0679680213907599</v>
      </c>
      <c r="E7" s="3">
        <v>2.4857609163531298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</row>
    <row r="8" spans="1:24" x14ac:dyDescent="0.25">
      <c r="A8" s="3">
        <v>0</v>
      </c>
      <c r="B8" s="3">
        <v>0</v>
      </c>
      <c r="C8" s="3">
        <v>0</v>
      </c>
      <c r="D8" s="3">
        <v>7.18184597423424</v>
      </c>
      <c r="E8" s="3">
        <v>1.2321370603279</v>
      </c>
      <c r="F8" s="3">
        <v>2.34026763260059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</row>
    <row r="9" spans="1:24" x14ac:dyDescent="0.25">
      <c r="A9" s="3">
        <v>0</v>
      </c>
      <c r="B9" s="3">
        <v>0</v>
      </c>
      <c r="C9" s="3">
        <v>0</v>
      </c>
      <c r="D9" s="3">
        <v>0</v>
      </c>
      <c r="E9" s="3">
        <v>7.2766524201343197</v>
      </c>
      <c r="F9" s="3">
        <v>14.595347083399</v>
      </c>
      <c r="G9" s="3">
        <v>2.55786416362462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</row>
    <row r="10" spans="1:24" x14ac:dyDescent="0.25">
      <c r="A10" s="3">
        <v>0</v>
      </c>
      <c r="B10" s="3">
        <v>0</v>
      </c>
      <c r="C10" s="3">
        <v>0</v>
      </c>
      <c r="D10" s="3">
        <v>0</v>
      </c>
      <c r="E10" s="3">
        <v>0</v>
      </c>
      <c r="F10" s="3">
        <v>8.8442586955512894</v>
      </c>
      <c r="G10" s="3">
        <v>1.34072531132359</v>
      </c>
      <c r="H10" s="3">
        <v>2.3722680879457299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</row>
    <row r="11" spans="1:24" x14ac:dyDescent="0.25">
      <c r="A11" s="3">
        <v>0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3">
        <v>4.7162757481539401</v>
      </c>
      <c r="H11" s="3">
        <v>5.99684070623882</v>
      </c>
      <c r="I11" s="3">
        <v>2.5690183977137702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</row>
    <row r="12" spans="1:24" x14ac:dyDescent="0.25">
      <c r="A12" s="3">
        <v>0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7.0637989542771296</v>
      </c>
      <c r="I12" s="3">
        <v>1.3881746797022501</v>
      </c>
      <c r="J12" s="3">
        <v>2.4143547046273599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</row>
    <row r="13" spans="1:24" x14ac:dyDescent="0.25">
      <c r="A13" s="3">
        <v>0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2.7589888286886399</v>
      </c>
      <c r="J13" s="3">
        <v>6.1013936601730503</v>
      </c>
      <c r="K13" s="3">
        <v>2.5135277956480402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</row>
    <row r="14" spans="1:24" x14ac:dyDescent="0.25">
      <c r="A14" s="3">
        <v>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7.0548412271420498</v>
      </c>
      <c r="K14" s="3">
        <v>1.3878398104066401</v>
      </c>
      <c r="L14" s="3">
        <v>2.4870161047172599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</row>
    <row r="15" spans="1:24" x14ac:dyDescent="0.25">
      <c r="A15" s="3">
        <v>0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7.06098288385689</v>
      </c>
      <c r="L15" s="3">
        <v>14.208328246208399</v>
      </c>
      <c r="M15" s="3">
        <v>2.43500323263134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</row>
    <row r="16" spans="1:24" x14ac:dyDescent="0.25">
      <c r="A16" s="3">
        <v>0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0</v>
      </c>
      <c r="L16" s="3">
        <v>7.0853520019306799</v>
      </c>
      <c r="M16" s="3">
        <v>1.39110932237165</v>
      </c>
      <c r="N16" s="3">
        <v>2.5567939893137099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</row>
    <row r="17" spans="1:24" x14ac:dyDescent="0.25">
      <c r="A17" s="3">
        <v>0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3">
        <v>1.29160930699118</v>
      </c>
      <c r="N17" s="3">
        <v>6.0386545015468904</v>
      </c>
      <c r="O17" s="3">
        <v>2.3831565371187802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</row>
    <row r="18" spans="1:24" x14ac:dyDescent="0.25">
      <c r="A18" s="3">
        <v>0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1.5899861886614</v>
      </c>
      <c r="O18" s="3">
        <v>1.36379582401127</v>
      </c>
      <c r="P18" s="3">
        <v>2.5694487748023098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</row>
    <row r="19" spans="1:24" x14ac:dyDescent="0.25">
      <c r="A19" s="3">
        <v>0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2.8463693345788501</v>
      </c>
      <c r="P19" s="3">
        <v>14.515861998071401</v>
      </c>
      <c r="Q19" s="3">
        <v>2.7439517233734398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</row>
    <row r="20" spans="1:24" x14ac:dyDescent="0.25">
      <c r="A20" s="3">
        <v>0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7.24575212265482</v>
      </c>
      <c r="Q20" s="3">
        <v>1.27500288999042</v>
      </c>
      <c r="R20" s="3">
        <v>2.51351792587579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</row>
    <row r="21" spans="1:24" x14ac:dyDescent="0.25">
      <c r="A21" s="3">
        <v>0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M21" s="3">
        <v>0</v>
      </c>
      <c r="N21" s="3">
        <v>0</v>
      </c>
      <c r="O21" s="3">
        <v>0</v>
      </c>
      <c r="P21" s="3">
        <v>0</v>
      </c>
      <c r="Q21" s="3">
        <v>7.1545949395708304</v>
      </c>
      <c r="R21" s="3">
        <v>5.7933286259596697</v>
      </c>
      <c r="S21" s="3">
        <v>2.3160927770730502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</row>
    <row r="22" spans="1:24" x14ac:dyDescent="0.25">
      <c r="A22" s="3">
        <v>0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7.34018361901001</v>
      </c>
      <c r="S22" s="3">
        <v>1.1257430762045499</v>
      </c>
      <c r="T22" s="3">
        <v>2.4236329457955099</v>
      </c>
      <c r="U22" s="3">
        <v>0</v>
      </c>
      <c r="V22" s="3">
        <v>0</v>
      </c>
      <c r="W22" s="3">
        <v>0</v>
      </c>
      <c r="X22" s="3">
        <v>0</v>
      </c>
    </row>
    <row r="23" spans="1:24" x14ac:dyDescent="0.25">
      <c r="A23" s="3">
        <v>0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3.3311102393643499</v>
      </c>
      <c r="T23" s="3">
        <v>5.7483634623962603</v>
      </c>
      <c r="U23" s="3">
        <v>2.2813677846718199</v>
      </c>
      <c r="V23" s="3">
        <v>0</v>
      </c>
      <c r="W23" s="3">
        <v>0</v>
      </c>
      <c r="X23" s="3">
        <v>0</v>
      </c>
    </row>
    <row r="24" spans="1:24" x14ac:dyDescent="0.25">
      <c r="A24" s="3">
        <v>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7.4128295539560201</v>
      </c>
      <c r="U24" s="3">
        <v>0.909635587701355</v>
      </c>
      <c r="V24" s="3">
        <v>2.3353075497202198</v>
      </c>
      <c r="W24" s="3">
        <v>0</v>
      </c>
      <c r="X24" s="3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5AF7A0-374D-42B3-B201-EEB4081520EB}">
  <dimension ref="A1:W31"/>
  <sheetViews>
    <sheetView tabSelected="1" workbookViewId="0">
      <selection activeCell="D28" sqref="D28"/>
    </sheetView>
  </sheetViews>
  <sheetFormatPr baseColWidth="10" defaultRowHeight="15" x14ac:dyDescent="0.25"/>
  <sheetData>
    <row r="1" spans="1:23" x14ac:dyDescent="0.25">
      <c r="A1" s="1">
        <f>delta_v!A1*384748000/86400/27.321582</f>
        <v>0</v>
      </c>
      <c r="B1" s="1">
        <f>delta_v!B1*384748000/86400/27.321582</f>
        <v>0</v>
      </c>
      <c r="C1" s="1">
        <f>delta_v!C1*384748000/86400/27.321582</f>
        <v>0</v>
      </c>
      <c r="D1" s="1">
        <f>delta_v!D1*384748000/86400/27.321582</f>
        <v>0</v>
      </c>
      <c r="E1" s="1">
        <f>delta_v!E1*384748000/86400/27.321582</f>
        <v>0</v>
      </c>
      <c r="F1" s="1">
        <f>delta_v!F1*384748000/86400/27.321582</f>
        <v>0</v>
      </c>
      <c r="G1" s="1">
        <f>delta_v!G1*384748000/86400/27.321582</f>
        <v>0</v>
      </c>
      <c r="H1" s="1">
        <f>delta_v!H1*384748000/86400/27.321582</f>
        <v>0</v>
      </c>
      <c r="I1" s="1">
        <f>delta_v!I1*384748000/86400/27.321582</f>
        <v>0</v>
      </c>
      <c r="J1" s="1">
        <f>delta_v!J1*384748000/86400/27.321582</f>
        <v>0</v>
      </c>
      <c r="K1" s="1">
        <f>delta_v!K1*384748000/86400/27.321582</f>
        <v>0</v>
      </c>
      <c r="L1" s="1">
        <f>delta_v!L1*384748000/86400/27.321582</f>
        <v>0</v>
      </c>
      <c r="M1" s="1">
        <f>delta_v!M1*384748000/86400/27.321582</f>
        <v>0</v>
      </c>
      <c r="N1" s="1">
        <f>delta_v!N1*384748000/86400/27.321582</f>
        <v>0</v>
      </c>
      <c r="O1" s="1">
        <f>delta_v!O1*384748000/86400/27.321582</f>
        <v>0</v>
      </c>
      <c r="P1" s="1">
        <f>delta_v!P1*384748000/86400/27.321582</f>
        <v>0</v>
      </c>
      <c r="Q1" s="1">
        <f>delta_v!Q1*384748000/86400/27.321582</f>
        <v>0</v>
      </c>
      <c r="R1" s="1">
        <f>delta_v!R1*384748000/86400/27.321582</f>
        <v>0</v>
      </c>
      <c r="S1" s="1">
        <f>delta_v!S1*384748000/86400/27.321582</f>
        <v>0</v>
      </c>
      <c r="T1" s="1">
        <f>delta_v!T1*384748000/86400/27.321582</f>
        <v>0</v>
      </c>
      <c r="U1" s="1">
        <f>delta_v!U1*384748000/86400/27.321582</f>
        <v>0</v>
      </c>
      <c r="V1" s="1">
        <f>delta_v!V1*384748000/86400/27.321582</f>
        <v>0</v>
      </c>
      <c r="W1" s="1">
        <f>delta_v!W1*384748000/86400/27.321582</f>
        <v>0</v>
      </c>
    </row>
    <row r="2" spans="1:23" x14ac:dyDescent="0.25">
      <c r="A2" s="1">
        <f>delta_v!A2*384748000/86400/27.321582</f>
        <v>0</v>
      </c>
      <c r="B2" s="1">
        <f>delta_v!B2*384748000/86400/27.321582</f>
        <v>0</v>
      </c>
      <c r="C2" s="1">
        <f>delta_v!C2*384748000/86400/27.321582</f>
        <v>0</v>
      </c>
      <c r="D2" s="1">
        <f>delta_v!D2*384748000/86400/27.321582</f>
        <v>0</v>
      </c>
      <c r="E2" s="1">
        <f>delta_v!E2*384748000/86400/27.321582</f>
        <v>0</v>
      </c>
      <c r="F2" s="1">
        <f>delta_v!F2*384748000/86400/27.321582</f>
        <v>0</v>
      </c>
      <c r="G2" s="1">
        <f>delta_v!G2*384748000/86400/27.321582</f>
        <v>0</v>
      </c>
      <c r="H2" s="1">
        <f>delta_v!H2*384748000/86400/27.321582</f>
        <v>0</v>
      </c>
      <c r="I2" s="1">
        <f>delta_v!I2*384748000/86400/27.321582</f>
        <v>0</v>
      </c>
      <c r="J2" s="1">
        <f>delta_v!J2*384748000/86400/27.321582</f>
        <v>0</v>
      </c>
      <c r="K2" s="1">
        <f>delta_v!K2*384748000/86400/27.321582</f>
        <v>0</v>
      </c>
      <c r="L2" s="1">
        <f>delta_v!L2*384748000/86400/27.321582</f>
        <v>0</v>
      </c>
      <c r="M2" s="1">
        <f>delta_v!M2*384748000/86400/27.321582</f>
        <v>0</v>
      </c>
      <c r="N2" s="1">
        <f>delta_v!N2*384748000/86400/27.321582</f>
        <v>0</v>
      </c>
      <c r="O2" s="1">
        <f>delta_v!O2*384748000/86400/27.321582</f>
        <v>0</v>
      </c>
      <c r="P2" s="1">
        <f>delta_v!P2*384748000/86400/27.321582</f>
        <v>0</v>
      </c>
      <c r="Q2" s="1">
        <f>delta_v!Q2*384748000/86400/27.321582</f>
        <v>0</v>
      </c>
      <c r="R2" s="1">
        <f>delta_v!R2*384748000/86400/27.321582</f>
        <v>0</v>
      </c>
      <c r="S2" s="1">
        <f>delta_v!S2*384748000/86400/27.321582</f>
        <v>0</v>
      </c>
      <c r="T2" s="1">
        <f>delta_v!T2*384748000/86400/27.321582</f>
        <v>0</v>
      </c>
      <c r="U2" s="1">
        <f>delta_v!U2*384748000/86400/27.321582</f>
        <v>0</v>
      </c>
      <c r="V2" s="1">
        <f>delta_v!V2*384748000/86400/27.321582</f>
        <v>0</v>
      </c>
      <c r="W2" s="1">
        <f>delta_v!W2*384748000/86400/27.321582</f>
        <v>0</v>
      </c>
    </row>
    <row r="3" spans="1:23" x14ac:dyDescent="0.25">
      <c r="A3" s="1">
        <f>delta_v!A3*384748000/86400/27.321582</f>
        <v>377.20742698364256</v>
      </c>
      <c r="B3" s="1">
        <f>delta_v!B3*384748000/86400/27.321582</f>
        <v>0</v>
      </c>
      <c r="C3" s="1">
        <f>delta_v!C3*384748000/86400/27.321582</f>
        <v>0</v>
      </c>
      <c r="D3" s="1">
        <f>delta_v!D3*384748000/86400/27.321582</f>
        <v>0</v>
      </c>
      <c r="E3" s="1">
        <f>delta_v!E3*384748000/86400/27.321582</f>
        <v>0</v>
      </c>
      <c r="F3" s="1">
        <f>delta_v!F3*384748000/86400/27.321582</f>
        <v>0</v>
      </c>
      <c r="G3" s="1">
        <f>delta_v!G3*384748000/86400/27.321582</f>
        <v>0</v>
      </c>
      <c r="H3" s="1">
        <f>delta_v!H3*384748000/86400/27.321582</f>
        <v>0</v>
      </c>
      <c r="I3" s="1">
        <f>delta_v!I3*384748000/86400/27.321582</f>
        <v>0</v>
      </c>
      <c r="J3" s="1">
        <f>delta_v!J3*384748000/86400/27.321582</f>
        <v>0</v>
      </c>
      <c r="K3" s="1">
        <f>delta_v!K3*384748000/86400/27.321582</f>
        <v>0</v>
      </c>
      <c r="L3" s="1">
        <f>delta_v!L3*384748000/86400/27.321582</f>
        <v>0</v>
      </c>
      <c r="M3" s="1">
        <f>delta_v!M3*384748000/86400/27.321582</f>
        <v>0</v>
      </c>
      <c r="N3" s="1">
        <f>delta_v!N3*384748000/86400/27.321582</f>
        <v>0</v>
      </c>
      <c r="O3" s="1">
        <f>delta_v!O3*384748000/86400/27.321582</f>
        <v>0</v>
      </c>
      <c r="P3" s="1">
        <f>delta_v!P3*384748000/86400/27.321582</f>
        <v>0</v>
      </c>
      <c r="Q3" s="1">
        <f>delta_v!Q3*384748000/86400/27.321582</f>
        <v>0</v>
      </c>
      <c r="R3" s="1">
        <f>delta_v!R3*384748000/86400/27.321582</f>
        <v>0</v>
      </c>
      <c r="S3" s="1">
        <f>delta_v!S3*384748000/86400/27.321582</f>
        <v>0</v>
      </c>
      <c r="T3" s="1">
        <f>delta_v!T3*384748000/86400/27.321582</f>
        <v>0</v>
      </c>
      <c r="U3" s="1">
        <f>delta_v!U3*384748000/86400/27.321582</f>
        <v>0</v>
      </c>
      <c r="V3" s="1">
        <f>delta_v!V3*384748000/86400/27.321582</f>
        <v>0</v>
      </c>
      <c r="W3" s="1">
        <f>delta_v!W3*384748000/86400/27.321582</f>
        <v>0</v>
      </c>
    </row>
    <row r="4" spans="1:23" x14ac:dyDescent="0.25">
      <c r="A4" s="1">
        <f>delta_v!A4*384748000/86400/27.321582</f>
        <v>134.91374172857519</v>
      </c>
      <c r="B4" s="1">
        <f>delta_v!B4*384748000/86400/27.321582</f>
        <v>370.68683268213005</v>
      </c>
      <c r="C4" s="1">
        <f>delta_v!C4*384748000/86400/27.321582</f>
        <v>0</v>
      </c>
      <c r="D4" s="1">
        <f>delta_v!D4*384748000/86400/27.321582</f>
        <v>0</v>
      </c>
      <c r="E4" s="1">
        <f>delta_v!E4*384748000/86400/27.321582</f>
        <v>0</v>
      </c>
      <c r="F4" s="1">
        <f>delta_v!F4*384748000/86400/27.321582</f>
        <v>0</v>
      </c>
      <c r="G4" s="1">
        <f>delta_v!G4*384748000/86400/27.321582</f>
        <v>0</v>
      </c>
      <c r="H4" s="1">
        <f>delta_v!H4*384748000/86400/27.321582</f>
        <v>0</v>
      </c>
      <c r="I4" s="1">
        <f>delta_v!I4*384748000/86400/27.321582</f>
        <v>0</v>
      </c>
      <c r="J4" s="1">
        <f>delta_v!J4*384748000/86400/27.321582</f>
        <v>0</v>
      </c>
      <c r="K4" s="1">
        <f>delta_v!K4*384748000/86400/27.321582</f>
        <v>0</v>
      </c>
      <c r="L4" s="1">
        <f>delta_v!L4*384748000/86400/27.321582</f>
        <v>0</v>
      </c>
      <c r="M4" s="1">
        <f>delta_v!M4*384748000/86400/27.321582</f>
        <v>0</v>
      </c>
      <c r="N4" s="1">
        <f>delta_v!N4*384748000/86400/27.321582</f>
        <v>0</v>
      </c>
      <c r="O4" s="1">
        <f>delta_v!O4*384748000/86400/27.321582</f>
        <v>0</v>
      </c>
      <c r="P4" s="1">
        <f>delta_v!P4*384748000/86400/27.321582</f>
        <v>0</v>
      </c>
      <c r="Q4" s="1">
        <f>delta_v!Q4*384748000/86400/27.321582</f>
        <v>0</v>
      </c>
      <c r="R4" s="1">
        <f>delta_v!R4*384748000/86400/27.321582</f>
        <v>0</v>
      </c>
      <c r="S4" s="1">
        <f>delta_v!S4*384748000/86400/27.321582</f>
        <v>0</v>
      </c>
      <c r="T4" s="1">
        <f>delta_v!T4*384748000/86400/27.321582</f>
        <v>0</v>
      </c>
      <c r="U4" s="1">
        <f>delta_v!U4*384748000/86400/27.321582</f>
        <v>0</v>
      </c>
      <c r="V4" s="1">
        <f>delta_v!V4*384748000/86400/27.321582</f>
        <v>0</v>
      </c>
      <c r="W4" s="1">
        <f>delta_v!W4*384748000/86400/27.321582</f>
        <v>0</v>
      </c>
    </row>
    <row r="5" spans="1:23" x14ac:dyDescent="0.25">
      <c r="A5" s="1">
        <f>delta_v!A5*384748000/86400/27.321582</f>
        <v>1210.0926481177612</v>
      </c>
      <c r="B5" s="1">
        <f>delta_v!B5*384748000/86400/27.321582</f>
        <v>934.9327842868546</v>
      </c>
      <c r="C5" s="1">
        <f>delta_v!C5*384748000/86400/27.321582</f>
        <v>389.80265180491944</v>
      </c>
      <c r="D5" s="1">
        <f>delta_v!D5*384748000/86400/27.321582</f>
        <v>0</v>
      </c>
      <c r="E5" s="1">
        <f>delta_v!E5*384748000/86400/27.321582</f>
        <v>0</v>
      </c>
      <c r="F5" s="1">
        <f>delta_v!F5*384748000/86400/27.321582</f>
        <v>0</v>
      </c>
      <c r="G5" s="1">
        <f>delta_v!G5*384748000/86400/27.321582</f>
        <v>0</v>
      </c>
      <c r="H5" s="1">
        <f>delta_v!H5*384748000/86400/27.321582</f>
        <v>0</v>
      </c>
      <c r="I5" s="1">
        <f>delta_v!I5*384748000/86400/27.321582</f>
        <v>0</v>
      </c>
      <c r="J5" s="1">
        <f>delta_v!J5*384748000/86400/27.321582</f>
        <v>0</v>
      </c>
      <c r="K5" s="1">
        <f>delta_v!K5*384748000/86400/27.321582</f>
        <v>0</v>
      </c>
      <c r="L5" s="1">
        <f>delta_v!L5*384748000/86400/27.321582</f>
        <v>0</v>
      </c>
      <c r="M5" s="1">
        <f>delta_v!M5*384748000/86400/27.321582</f>
        <v>0</v>
      </c>
      <c r="N5" s="1">
        <f>delta_v!N5*384748000/86400/27.321582</f>
        <v>0</v>
      </c>
      <c r="O5" s="1">
        <f>delta_v!O5*384748000/86400/27.321582</f>
        <v>0</v>
      </c>
      <c r="P5" s="1">
        <f>delta_v!P5*384748000/86400/27.321582</f>
        <v>0</v>
      </c>
      <c r="Q5" s="1">
        <f>delta_v!Q5*384748000/86400/27.321582</f>
        <v>0</v>
      </c>
      <c r="R5" s="1">
        <f>delta_v!R5*384748000/86400/27.321582</f>
        <v>0</v>
      </c>
      <c r="S5" s="1">
        <f>delta_v!S5*384748000/86400/27.321582</f>
        <v>0</v>
      </c>
      <c r="T5" s="1">
        <f>delta_v!T5*384748000/86400/27.321582</f>
        <v>0</v>
      </c>
      <c r="U5" s="1">
        <f>delta_v!U5*384748000/86400/27.321582</f>
        <v>0</v>
      </c>
      <c r="V5" s="1">
        <f>delta_v!V5*384748000/86400/27.321582</f>
        <v>0</v>
      </c>
      <c r="W5" s="1">
        <f>delta_v!W5*384748000/86400/27.321582</f>
        <v>0</v>
      </c>
    </row>
    <row r="6" spans="1:23" x14ac:dyDescent="0.25">
      <c r="A6" s="1">
        <f>delta_v!A6*384748000/86400/27.321582</f>
        <v>0</v>
      </c>
      <c r="B6" s="1">
        <f>delta_v!B6*384748000/86400/27.321582</f>
        <v>1186.4074575118857</v>
      </c>
      <c r="C6" s="1">
        <f>delta_v!C6*384748000/86400/27.321582</f>
        <v>172.87357721841457</v>
      </c>
      <c r="D6" s="1">
        <f>delta_v!D6*384748000/86400/27.321582</f>
        <v>375.26802947507923</v>
      </c>
      <c r="E6" s="1">
        <f>delta_v!E6*384748000/86400/27.321582</f>
        <v>0</v>
      </c>
      <c r="F6" s="1">
        <f>delta_v!F6*384748000/86400/27.321582</f>
        <v>0</v>
      </c>
      <c r="G6" s="1">
        <f>delta_v!G6*384748000/86400/27.321582</f>
        <v>0</v>
      </c>
      <c r="H6" s="1">
        <f>delta_v!H6*384748000/86400/27.321582</f>
        <v>0</v>
      </c>
      <c r="I6" s="1">
        <f>delta_v!I6*384748000/86400/27.321582</f>
        <v>0</v>
      </c>
      <c r="J6" s="1">
        <f>delta_v!J6*384748000/86400/27.321582</f>
        <v>0</v>
      </c>
      <c r="K6" s="1">
        <f>delta_v!K6*384748000/86400/27.321582</f>
        <v>0</v>
      </c>
      <c r="L6" s="1">
        <f>delta_v!L6*384748000/86400/27.321582</f>
        <v>0</v>
      </c>
      <c r="M6" s="1">
        <f>delta_v!M6*384748000/86400/27.321582</f>
        <v>0</v>
      </c>
      <c r="N6" s="1">
        <f>delta_v!N6*384748000/86400/27.321582</f>
        <v>0</v>
      </c>
      <c r="O6" s="1">
        <f>delta_v!O6*384748000/86400/27.321582</f>
        <v>0</v>
      </c>
      <c r="P6" s="1">
        <f>delta_v!P6*384748000/86400/27.321582</f>
        <v>0</v>
      </c>
      <c r="Q6" s="1">
        <f>delta_v!Q6*384748000/86400/27.321582</f>
        <v>0</v>
      </c>
      <c r="R6" s="1">
        <f>delta_v!R6*384748000/86400/27.321582</f>
        <v>0</v>
      </c>
      <c r="S6" s="1">
        <f>delta_v!S6*384748000/86400/27.321582</f>
        <v>0</v>
      </c>
      <c r="T6" s="1">
        <f>delta_v!T6*384748000/86400/27.321582</f>
        <v>0</v>
      </c>
      <c r="U6" s="1">
        <f>delta_v!U6*384748000/86400/27.321582</f>
        <v>0</v>
      </c>
      <c r="V6" s="1">
        <f>delta_v!V6*384748000/86400/27.321582</f>
        <v>0</v>
      </c>
      <c r="W6" s="1">
        <f>delta_v!W6*384748000/86400/27.321582</f>
        <v>0</v>
      </c>
    </row>
    <row r="7" spans="1:23" x14ac:dyDescent="0.25">
      <c r="A7" s="1">
        <f>delta_v!A7*384748000/86400/27.321582</f>
        <v>0</v>
      </c>
      <c r="B7" s="1">
        <f>delta_v!B7*384748000/86400/27.321582</f>
        <v>0</v>
      </c>
      <c r="C7" s="1">
        <f>delta_v!C7*384748000/86400/27.321582</f>
        <v>1200.653862632797</v>
      </c>
      <c r="D7" s="1">
        <f>delta_v!D7*384748000/86400/27.321582</f>
        <v>1314.9854696092166</v>
      </c>
      <c r="E7" s="1">
        <f>delta_v!E7*384748000/86400/27.321582</f>
        <v>405.15027789653902</v>
      </c>
      <c r="F7" s="1">
        <f>delta_v!F7*384748000/86400/27.321582</f>
        <v>0</v>
      </c>
      <c r="G7" s="1">
        <f>delta_v!G7*384748000/86400/27.321582</f>
        <v>0</v>
      </c>
      <c r="H7" s="1">
        <f>delta_v!H7*384748000/86400/27.321582</f>
        <v>0</v>
      </c>
      <c r="I7" s="1">
        <f>delta_v!I7*384748000/86400/27.321582</f>
        <v>0</v>
      </c>
      <c r="J7" s="1">
        <f>delta_v!J7*384748000/86400/27.321582</f>
        <v>0</v>
      </c>
      <c r="K7" s="1">
        <f>delta_v!K7*384748000/86400/27.321582</f>
        <v>0</v>
      </c>
      <c r="L7" s="1">
        <f>delta_v!L7*384748000/86400/27.321582</f>
        <v>0</v>
      </c>
      <c r="M7" s="1">
        <f>delta_v!M7*384748000/86400/27.321582</f>
        <v>0</v>
      </c>
      <c r="N7" s="1">
        <f>delta_v!N7*384748000/86400/27.321582</f>
        <v>0</v>
      </c>
      <c r="O7" s="1">
        <f>delta_v!O7*384748000/86400/27.321582</f>
        <v>0</v>
      </c>
      <c r="P7" s="1">
        <f>delta_v!P7*384748000/86400/27.321582</f>
        <v>0</v>
      </c>
      <c r="Q7" s="1">
        <f>delta_v!Q7*384748000/86400/27.321582</f>
        <v>0</v>
      </c>
      <c r="R7" s="1">
        <f>delta_v!R7*384748000/86400/27.321582</f>
        <v>0</v>
      </c>
      <c r="S7" s="1">
        <f>delta_v!S7*384748000/86400/27.321582</f>
        <v>0</v>
      </c>
      <c r="T7" s="1">
        <f>delta_v!T7*384748000/86400/27.321582</f>
        <v>0</v>
      </c>
      <c r="U7" s="1">
        <f>delta_v!U7*384748000/86400/27.321582</f>
        <v>0</v>
      </c>
      <c r="V7" s="1">
        <f>delta_v!V7*384748000/86400/27.321582</f>
        <v>0</v>
      </c>
      <c r="W7" s="1">
        <f>delta_v!W7*384748000/86400/27.321582</f>
        <v>0</v>
      </c>
    </row>
    <row r="8" spans="1:23" x14ac:dyDescent="0.25">
      <c r="A8" s="1">
        <f>delta_v!A8*384748000/86400/27.321582</f>
        <v>0</v>
      </c>
      <c r="B8" s="1">
        <f>delta_v!B8*384748000/86400/27.321582</f>
        <v>0</v>
      </c>
      <c r="C8" s="1">
        <f>delta_v!C8*384748000/86400/27.321582</f>
        <v>0</v>
      </c>
      <c r="D8" s="1">
        <f>delta_v!D8*384748000/86400/27.321582</f>
        <v>1170.5578252231976</v>
      </c>
      <c r="E8" s="1">
        <f>delta_v!E8*384748000/86400/27.321582</f>
        <v>200.82408936208267</v>
      </c>
      <c r="F8" s="1">
        <f>delta_v!F8*384748000/86400/27.321582</f>
        <v>381.43655548798887</v>
      </c>
      <c r="G8" s="1">
        <f>delta_v!G8*384748000/86400/27.321582</f>
        <v>0</v>
      </c>
      <c r="H8" s="1">
        <f>delta_v!H8*384748000/86400/27.321582</f>
        <v>0</v>
      </c>
      <c r="I8" s="1">
        <f>delta_v!I8*384748000/86400/27.321582</f>
        <v>0</v>
      </c>
      <c r="J8" s="1">
        <f>delta_v!J8*384748000/86400/27.321582</f>
        <v>0</v>
      </c>
      <c r="K8" s="1">
        <f>delta_v!K8*384748000/86400/27.321582</f>
        <v>0</v>
      </c>
      <c r="L8" s="1">
        <f>delta_v!L8*384748000/86400/27.321582</f>
        <v>0</v>
      </c>
      <c r="M8" s="1">
        <f>delta_v!M8*384748000/86400/27.321582</f>
        <v>0</v>
      </c>
      <c r="N8" s="1">
        <f>delta_v!N8*384748000/86400/27.321582</f>
        <v>0</v>
      </c>
      <c r="O8" s="1">
        <f>delta_v!O8*384748000/86400/27.321582</f>
        <v>0</v>
      </c>
      <c r="P8" s="1">
        <f>delta_v!P8*384748000/86400/27.321582</f>
        <v>0</v>
      </c>
      <c r="Q8" s="1">
        <f>delta_v!Q8*384748000/86400/27.321582</f>
        <v>0</v>
      </c>
      <c r="R8" s="1">
        <f>delta_v!R8*384748000/86400/27.321582</f>
        <v>0</v>
      </c>
      <c r="S8" s="1">
        <f>delta_v!S8*384748000/86400/27.321582</f>
        <v>0</v>
      </c>
      <c r="T8" s="1">
        <f>delta_v!T8*384748000/86400/27.321582</f>
        <v>0</v>
      </c>
      <c r="U8" s="1">
        <f>delta_v!U8*384748000/86400/27.321582</f>
        <v>0</v>
      </c>
      <c r="V8" s="1">
        <f>delta_v!V8*384748000/86400/27.321582</f>
        <v>0</v>
      </c>
      <c r="W8" s="1">
        <f>delta_v!W8*384748000/86400/27.321582</f>
        <v>0</v>
      </c>
    </row>
    <row r="9" spans="1:23" x14ac:dyDescent="0.25">
      <c r="A9" s="1">
        <f>delta_v!A9*384748000/86400/27.321582</f>
        <v>0</v>
      </c>
      <c r="B9" s="1">
        <f>delta_v!B9*384748000/86400/27.321582</f>
        <v>0</v>
      </c>
      <c r="C9" s="1">
        <f>delta_v!C9*384748000/86400/27.321582</f>
        <v>0</v>
      </c>
      <c r="D9" s="1">
        <f>delta_v!D9*384748000/86400/27.321582</f>
        <v>0</v>
      </c>
      <c r="E9" s="1">
        <f>delta_v!E9*384748000/86400/27.321582</f>
        <v>1186.0101793293813</v>
      </c>
      <c r="F9" s="1">
        <f>delta_v!F9*384748000/86400/27.321582</f>
        <v>2378.8727580088375</v>
      </c>
      <c r="G9" s="1">
        <f>delta_v!G9*384748000/86400/27.321582</f>
        <v>416.9022732220368</v>
      </c>
      <c r="H9" s="1">
        <f>delta_v!H9*384748000/86400/27.321582</f>
        <v>0</v>
      </c>
      <c r="I9" s="1">
        <f>delta_v!I9*384748000/86400/27.321582</f>
        <v>0</v>
      </c>
      <c r="J9" s="1">
        <f>delta_v!J9*384748000/86400/27.321582</f>
        <v>0</v>
      </c>
      <c r="K9" s="1">
        <f>delta_v!K9*384748000/86400/27.321582</f>
        <v>0</v>
      </c>
      <c r="L9" s="1">
        <f>delta_v!L9*384748000/86400/27.321582</f>
        <v>0</v>
      </c>
      <c r="M9" s="1">
        <f>delta_v!M9*384748000/86400/27.321582</f>
        <v>0</v>
      </c>
      <c r="N9" s="1">
        <f>delta_v!N9*384748000/86400/27.321582</f>
        <v>0</v>
      </c>
      <c r="O9" s="1">
        <f>delta_v!O9*384748000/86400/27.321582</f>
        <v>0</v>
      </c>
      <c r="P9" s="1">
        <f>delta_v!P9*384748000/86400/27.321582</f>
        <v>0</v>
      </c>
      <c r="Q9" s="1">
        <f>delta_v!Q9*384748000/86400/27.321582</f>
        <v>0</v>
      </c>
      <c r="R9" s="1">
        <f>delta_v!R9*384748000/86400/27.321582</f>
        <v>0</v>
      </c>
      <c r="S9" s="1">
        <f>delta_v!S9*384748000/86400/27.321582</f>
        <v>0</v>
      </c>
      <c r="T9" s="1">
        <f>delta_v!T9*384748000/86400/27.321582</f>
        <v>0</v>
      </c>
      <c r="U9" s="1">
        <f>delta_v!U9*384748000/86400/27.321582</f>
        <v>0</v>
      </c>
      <c r="V9" s="1">
        <f>delta_v!V9*384748000/86400/27.321582</f>
        <v>0</v>
      </c>
      <c r="W9" s="1">
        <f>delta_v!W9*384748000/86400/27.321582</f>
        <v>0</v>
      </c>
    </row>
    <row r="10" spans="1:23" x14ac:dyDescent="0.25">
      <c r="A10" s="1">
        <f>delta_v!A10*384748000/86400/27.321582</f>
        <v>0</v>
      </c>
      <c r="B10" s="1">
        <f>delta_v!B10*384748000/86400/27.321582</f>
        <v>0</v>
      </c>
      <c r="C10" s="1">
        <f>delta_v!C10*384748000/86400/27.321582</f>
        <v>0</v>
      </c>
      <c r="D10" s="1">
        <f>delta_v!D10*384748000/86400/27.321582</f>
        <v>0</v>
      </c>
      <c r="E10" s="1">
        <f>delta_v!E10*384748000/86400/27.321582</f>
        <v>0</v>
      </c>
      <c r="F10" s="1">
        <f>delta_v!F10*384748000/86400/27.321582</f>
        <v>1441.5118705577256</v>
      </c>
      <c r="G10" s="1">
        <f>delta_v!G10*384748000/86400/27.321582</f>
        <v>218.5227182920714</v>
      </c>
      <c r="H10" s="1">
        <f>delta_v!H10*384748000/86400/27.321582</f>
        <v>386.65225957706923</v>
      </c>
      <c r="I10" s="1">
        <f>delta_v!I10*384748000/86400/27.321582</f>
        <v>0</v>
      </c>
      <c r="J10" s="1">
        <f>delta_v!J10*384748000/86400/27.321582</f>
        <v>0</v>
      </c>
      <c r="K10" s="1">
        <f>delta_v!K10*384748000/86400/27.321582</f>
        <v>0</v>
      </c>
      <c r="L10" s="1">
        <f>delta_v!L10*384748000/86400/27.321582</f>
        <v>0</v>
      </c>
      <c r="M10" s="1">
        <f>delta_v!M10*384748000/86400/27.321582</f>
        <v>0</v>
      </c>
      <c r="N10" s="1">
        <f>delta_v!N10*384748000/86400/27.321582</f>
        <v>0</v>
      </c>
      <c r="O10" s="1">
        <f>delta_v!O10*384748000/86400/27.321582</f>
        <v>0</v>
      </c>
      <c r="P10" s="1">
        <f>delta_v!P10*384748000/86400/27.321582</f>
        <v>0</v>
      </c>
      <c r="Q10" s="1">
        <f>delta_v!Q10*384748000/86400/27.321582</f>
        <v>0</v>
      </c>
      <c r="R10" s="1">
        <f>delta_v!R10*384748000/86400/27.321582</f>
        <v>0</v>
      </c>
      <c r="S10" s="1">
        <f>delta_v!S10*384748000/86400/27.321582</f>
        <v>0</v>
      </c>
      <c r="T10" s="1">
        <f>delta_v!T10*384748000/86400/27.321582</f>
        <v>0</v>
      </c>
      <c r="U10" s="1">
        <f>delta_v!U10*384748000/86400/27.321582</f>
        <v>0</v>
      </c>
      <c r="V10" s="1">
        <f>delta_v!V10*384748000/86400/27.321582</f>
        <v>0</v>
      </c>
      <c r="W10" s="1">
        <f>delta_v!W10*384748000/86400/27.321582</f>
        <v>0</v>
      </c>
    </row>
    <row r="11" spans="1:23" x14ac:dyDescent="0.25">
      <c r="A11" s="1">
        <f>delta_v!A11*384748000/86400/27.321582</f>
        <v>0</v>
      </c>
      <c r="B11" s="1">
        <f>delta_v!B11*384748000/86400/27.321582</f>
        <v>0</v>
      </c>
      <c r="C11" s="1">
        <f>delta_v!C11*384748000/86400/27.321582</f>
        <v>0</v>
      </c>
      <c r="D11" s="1">
        <f>delta_v!D11*384748000/86400/27.321582</f>
        <v>0</v>
      </c>
      <c r="E11" s="1">
        <f>delta_v!E11*384748000/86400/27.321582</f>
        <v>0</v>
      </c>
      <c r="F11" s="1">
        <f>delta_v!F11*384748000/86400/27.321582</f>
        <v>0</v>
      </c>
      <c r="G11" s="1">
        <f>delta_v!G11*384748000/86400/27.321582</f>
        <v>768.69839630619822</v>
      </c>
      <c r="H11" s="1">
        <f>delta_v!H11*384748000/86400/27.321582</f>
        <v>977.41567286303757</v>
      </c>
      <c r="I11" s="1">
        <f>delta_v!I11*384748000/86400/27.321582</f>
        <v>418.72028436349939</v>
      </c>
      <c r="J11" s="1">
        <f>delta_v!J11*384748000/86400/27.321582</f>
        <v>0</v>
      </c>
      <c r="K11" s="1">
        <f>delta_v!K11*384748000/86400/27.321582</f>
        <v>0</v>
      </c>
      <c r="L11" s="1">
        <f>delta_v!L11*384748000/86400/27.321582</f>
        <v>0</v>
      </c>
      <c r="M11" s="1">
        <f>delta_v!M11*384748000/86400/27.321582</f>
        <v>0</v>
      </c>
      <c r="N11" s="1">
        <f>delta_v!N11*384748000/86400/27.321582</f>
        <v>0</v>
      </c>
      <c r="O11" s="1">
        <f>delta_v!O11*384748000/86400/27.321582</f>
        <v>0</v>
      </c>
      <c r="P11" s="1">
        <f>delta_v!P11*384748000/86400/27.321582</f>
        <v>0</v>
      </c>
      <c r="Q11" s="1">
        <f>delta_v!Q11*384748000/86400/27.321582</f>
        <v>0</v>
      </c>
      <c r="R11" s="1">
        <f>delta_v!R11*384748000/86400/27.321582</f>
        <v>0</v>
      </c>
      <c r="S11" s="1">
        <f>delta_v!S11*384748000/86400/27.321582</f>
        <v>0</v>
      </c>
      <c r="T11" s="1">
        <f>delta_v!T11*384748000/86400/27.321582</f>
        <v>0</v>
      </c>
      <c r="U11" s="1">
        <f>delta_v!U11*384748000/86400/27.321582</f>
        <v>0</v>
      </c>
      <c r="V11" s="1">
        <f>delta_v!V11*384748000/86400/27.321582</f>
        <v>0</v>
      </c>
      <c r="W11" s="1">
        <f>delta_v!W11*384748000/86400/27.321582</f>
        <v>0</v>
      </c>
    </row>
    <row r="12" spans="1:23" x14ac:dyDescent="0.25">
      <c r="A12" s="1">
        <f>delta_v!A12*384748000/86400/27.321582</f>
        <v>0</v>
      </c>
      <c r="B12" s="1">
        <f>delta_v!B12*384748000/86400/27.321582</f>
        <v>0</v>
      </c>
      <c r="C12" s="1">
        <f>delta_v!C12*384748000/86400/27.321582</f>
        <v>0</v>
      </c>
      <c r="D12" s="1">
        <f>delta_v!D12*384748000/86400/27.321582</f>
        <v>0</v>
      </c>
      <c r="E12" s="1">
        <f>delta_v!E12*384748000/86400/27.321582</f>
        <v>0</v>
      </c>
      <c r="F12" s="1">
        <f>delta_v!F12*384748000/86400/27.321582</f>
        <v>0</v>
      </c>
      <c r="G12" s="1">
        <f>delta_v!G12*384748000/86400/27.321582</f>
        <v>0</v>
      </c>
      <c r="H12" s="1">
        <f>delta_v!H12*384748000/86400/27.321582</f>
        <v>1151.3175263570265</v>
      </c>
      <c r="I12" s="1">
        <f>delta_v!I12*384748000/86400/27.321582</f>
        <v>226.25641651628891</v>
      </c>
      <c r="J12" s="1">
        <f>delta_v!J12*384748000/86400/27.321582</f>
        <v>393.51189130275577</v>
      </c>
      <c r="K12" s="1">
        <f>delta_v!K12*384748000/86400/27.321582</f>
        <v>0</v>
      </c>
      <c r="L12" s="1">
        <f>delta_v!L12*384748000/86400/27.321582</f>
        <v>0</v>
      </c>
      <c r="M12" s="1">
        <f>delta_v!M12*384748000/86400/27.321582</f>
        <v>0</v>
      </c>
      <c r="N12" s="1">
        <f>delta_v!N12*384748000/86400/27.321582</f>
        <v>0</v>
      </c>
      <c r="O12" s="1">
        <f>delta_v!O12*384748000/86400/27.321582</f>
        <v>0</v>
      </c>
      <c r="P12" s="1">
        <f>delta_v!P12*384748000/86400/27.321582</f>
        <v>0</v>
      </c>
      <c r="Q12" s="1">
        <f>delta_v!Q12*384748000/86400/27.321582</f>
        <v>0</v>
      </c>
      <c r="R12" s="1">
        <f>delta_v!R12*384748000/86400/27.321582</f>
        <v>0</v>
      </c>
      <c r="S12" s="1">
        <f>delta_v!S12*384748000/86400/27.321582</f>
        <v>0</v>
      </c>
      <c r="T12" s="1">
        <f>delta_v!T12*384748000/86400/27.321582</f>
        <v>0</v>
      </c>
      <c r="U12" s="1">
        <f>delta_v!U12*384748000/86400/27.321582</f>
        <v>0</v>
      </c>
      <c r="V12" s="1">
        <f>delta_v!V12*384748000/86400/27.321582</f>
        <v>0</v>
      </c>
      <c r="W12" s="1">
        <f>delta_v!W12*384748000/86400/27.321582</f>
        <v>0</v>
      </c>
    </row>
    <row r="13" spans="1:23" x14ac:dyDescent="0.25">
      <c r="A13" s="1">
        <f>delta_v!A13*384748000/86400/27.321582</f>
        <v>0</v>
      </c>
      <c r="B13" s="1">
        <f>delta_v!B13*384748000/86400/27.321582</f>
        <v>0</v>
      </c>
      <c r="C13" s="1">
        <f>delta_v!C13*384748000/86400/27.321582</f>
        <v>0</v>
      </c>
      <c r="D13" s="1">
        <f>delta_v!D13*384748000/86400/27.321582</f>
        <v>0</v>
      </c>
      <c r="E13" s="1">
        <f>delta_v!E13*384748000/86400/27.321582</f>
        <v>0</v>
      </c>
      <c r="F13" s="1">
        <f>delta_v!F13*384748000/86400/27.321582</f>
        <v>0</v>
      </c>
      <c r="G13" s="1">
        <f>delta_v!G13*384748000/86400/27.321582</f>
        <v>0</v>
      </c>
      <c r="H13" s="1">
        <f>delta_v!H13*384748000/86400/27.321582</f>
        <v>0</v>
      </c>
      <c r="I13" s="1">
        <f>delta_v!I13*384748000/86400/27.321582</f>
        <v>449.68326732588014</v>
      </c>
      <c r="J13" s="1">
        <f>delta_v!J13*384748000/86400/27.321582</f>
        <v>994.45659504613457</v>
      </c>
      <c r="K13" s="1">
        <f>delta_v!K13*384748000/86400/27.321582</f>
        <v>409.67595805694532</v>
      </c>
      <c r="L13" s="1">
        <f>delta_v!L13*384748000/86400/27.321582</f>
        <v>0</v>
      </c>
      <c r="M13" s="1">
        <f>delta_v!M13*384748000/86400/27.321582</f>
        <v>0</v>
      </c>
      <c r="N13" s="1">
        <f>delta_v!N13*384748000/86400/27.321582</f>
        <v>0</v>
      </c>
      <c r="O13" s="1">
        <f>delta_v!O13*384748000/86400/27.321582</f>
        <v>0</v>
      </c>
      <c r="P13" s="1">
        <f>delta_v!P13*384748000/86400/27.321582</f>
        <v>0</v>
      </c>
      <c r="Q13" s="1">
        <f>delta_v!Q13*384748000/86400/27.321582</f>
        <v>0</v>
      </c>
      <c r="R13" s="1">
        <f>delta_v!R13*384748000/86400/27.321582</f>
        <v>0</v>
      </c>
      <c r="S13" s="1">
        <f>delta_v!S13*384748000/86400/27.321582</f>
        <v>0</v>
      </c>
      <c r="T13" s="1">
        <f>delta_v!T13*384748000/86400/27.321582</f>
        <v>0</v>
      </c>
      <c r="U13" s="1">
        <f>delta_v!U13*384748000/86400/27.321582</f>
        <v>0</v>
      </c>
      <c r="V13" s="1">
        <f>delta_v!V13*384748000/86400/27.321582</f>
        <v>0</v>
      </c>
      <c r="W13" s="1">
        <f>delta_v!W13*384748000/86400/27.321582</f>
        <v>0</v>
      </c>
    </row>
    <row r="14" spans="1:23" x14ac:dyDescent="0.25">
      <c r="A14" s="1">
        <f>delta_v!A14*384748000/86400/27.321582</f>
        <v>0</v>
      </c>
      <c r="B14" s="1">
        <f>delta_v!B14*384748000/86400/27.321582</f>
        <v>0</v>
      </c>
      <c r="C14" s="1">
        <f>delta_v!C14*384748000/86400/27.321582</f>
        <v>0</v>
      </c>
      <c r="D14" s="1">
        <f>delta_v!D14*384748000/86400/27.321582</f>
        <v>0</v>
      </c>
      <c r="E14" s="1">
        <f>delta_v!E14*384748000/86400/27.321582</f>
        <v>0</v>
      </c>
      <c r="F14" s="1">
        <f>delta_v!F14*384748000/86400/27.321582</f>
        <v>0</v>
      </c>
      <c r="G14" s="1">
        <f>delta_v!G14*384748000/86400/27.321582</f>
        <v>0</v>
      </c>
      <c r="H14" s="1">
        <f>delta_v!H14*384748000/86400/27.321582</f>
        <v>0</v>
      </c>
      <c r="I14" s="1">
        <f>delta_v!I14*384748000/86400/27.321582</f>
        <v>0</v>
      </c>
      <c r="J14" s="1">
        <f>delta_v!J14*384748000/86400/27.321582</f>
        <v>1149.8575204432545</v>
      </c>
      <c r="K14" s="1">
        <f>delta_v!K14*384748000/86400/27.321582</f>
        <v>226.20183669435878</v>
      </c>
      <c r="L14" s="1">
        <f>delta_v!L14*384748000/86400/27.321582</f>
        <v>405.35485908179879</v>
      </c>
      <c r="M14" s="1">
        <f>delta_v!M14*384748000/86400/27.321582</f>
        <v>0</v>
      </c>
      <c r="N14" s="1">
        <f>delta_v!N14*384748000/86400/27.321582</f>
        <v>0</v>
      </c>
      <c r="O14" s="1">
        <f>delta_v!O14*384748000/86400/27.321582</f>
        <v>0</v>
      </c>
      <c r="P14" s="1">
        <f>delta_v!P14*384748000/86400/27.321582</f>
        <v>0</v>
      </c>
      <c r="Q14" s="1">
        <f>delta_v!Q14*384748000/86400/27.321582</f>
        <v>0</v>
      </c>
      <c r="R14" s="1">
        <f>delta_v!R14*384748000/86400/27.321582</f>
        <v>0</v>
      </c>
      <c r="S14" s="1">
        <f>delta_v!S14*384748000/86400/27.321582</f>
        <v>0</v>
      </c>
      <c r="T14" s="1">
        <f>delta_v!T14*384748000/86400/27.321582</f>
        <v>0</v>
      </c>
      <c r="U14" s="1">
        <f>delta_v!U14*384748000/86400/27.321582</f>
        <v>0</v>
      </c>
      <c r="V14" s="1">
        <f>delta_v!V14*384748000/86400/27.321582</f>
        <v>0</v>
      </c>
      <c r="W14" s="1">
        <f>delta_v!W14*384748000/86400/27.321582</f>
        <v>0</v>
      </c>
    </row>
    <row r="15" spans="1:23" x14ac:dyDescent="0.25">
      <c r="A15" s="1">
        <f>delta_v!A15*384748000/86400/27.321582</f>
        <v>0</v>
      </c>
      <c r="B15" s="1">
        <f>delta_v!B15*384748000/86400/27.321582</f>
        <v>0</v>
      </c>
      <c r="C15" s="1">
        <f>delta_v!C15*384748000/86400/27.321582</f>
        <v>0</v>
      </c>
      <c r="D15" s="1">
        <f>delta_v!D15*384748000/86400/27.321582</f>
        <v>0</v>
      </c>
      <c r="E15" s="1">
        <f>delta_v!E15*384748000/86400/27.321582</f>
        <v>0</v>
      </c>
      <c r="F15" s="1">
        <f>delta_v!F15*384748000/86400/27.321582</f>
        <v>0</v>
      </c>
      <c r="G15" s="1">
        <f>delta_v!G15*384748000/86400/27.321582</f>
        <v>0</v>
      </c>
      <c r="H15" s="1">
        <f>delta_v!H15*384748000/86400/27.321582</f>
        <v>0</v>
      </c>
      <c r="I15" s="1">
        <f>delta_v!I15*384748000/86400/27.321582</f>
        <v>0</v>
      </c>
      <c r="J15" s="1">
        <f>delta_v!J15*384748000/86400/27.321582</f>
        <v>0</v>
      </c>
      <c r="K15" s="1">
        <f>delta_v!K15*384748000/86400/27.321582</f>
        <v>1150.8585394505101</v>
      </c>
      <c r="L15" s="1">
        <f>delta_v!L15*384748000/86400/27.321582</f>
        <v>2315.7931639869753</v>
      </c>
      <c r="M15" s="1">
        <f>delta_v!M15*384748000/86400/27.321582</f>
        <v>396.87736253690821</v>
      </c>
      <c r="N15" s="1">
        <f>delta_v!N15*384748000/86400/27.321582</f>
        <v>0</v>
      </c>
      <c r="O15" s="1">
        <f>delta_v!O15*384748000/86400/27.321582</f>
        <v>0</v>
      </c>
      <c r="P15" s="1">
        <f>delta_v!P15*384748000/86400/27.321582</f>
        <v>0</v>
      </c>
      <c r="Q15" s="1">
        <f>delta_v!Q15*384748000/86400/27.321582</f>
        <v>0</v>
      </c>
      <c r="R15" s="1">
        <f>delta_v!R15*384748000/86400/27.321582</f>
        <v>0</v>
      </c>
      <c r="S15" s="1">
        <f>delta_v!S15*384748000/86400/27.321582</f>
        <v>0</v>
      </c>
      <c r="T15" s="1">
        <f>delta_v!T15*384748000/86400/27.321582</f>
        <v>0</v>
      </c>
      <c r="U15" s="1">
        <f>delta_v!U15*384748000/86400/27.321582</f>
        <v>0</v>
      </c>
      <c r="V15" s="1">
        <f>delta_v!V15*384748000/86400/27.321582</f>
        <v>0</v>
      </c>
      <c r="W15" s="1">
        <f>delta_v!W15*384748000/86400/27.321582</f>
        <v>0</v>
      </c>
    </row>
    <row r="16" spans="1:23" x14ac:dyDescent="0.25">
      <c r="A16" s="1">
        <f>delta_v!A16*384748000/86400/27.321582</f>
        <v>0</v>
      </c>
      <c r="B16" s="1">
        <f>delta_v!B16*384748000/86400/27.321582</f>
        <v>0</v>
      </c>
      <c r="C16" s="1">
        <f>delta_v!C16*384748000/86400/27.321582</f>
        <v>0</v>
      </c>
      <c r="D16" s="1">
        <f>delta_v!D16*384748000/86400/27.321582</f>
        <v>0</v>
      </c>
      <c r="E16" s="1">
        <f>delta_v!E16*384748000/86400/27.321582</f>
        <v>0</v>
      </c>
      <c r="F16" s="1">
        <f>delta_v!F16*384748000/86400/27.321582</f>
        <v>0</v>
      </c>
      <c r="G16" s="1">
        <f>delta_v!G16*384748000/86400/27.321582</f>
        <v>0</v>
      </c>
      <c r="H16" s="1">
        <f>delta_v!H16*384748000/86400/27.321582</f>
        <v>0</v>
      </c>
      <c r="I16" s="1">
        <f>delta_v!I16*384748000/86400/27.321582</f>
        <v>0</v>
      </c>
      <c r="J16" s="1">
        <f>delta_v!J16*384748000/86400/27.321582</f>
        <v>0</v>
      </c>
      <c r="K16" s="1">
        <f>delta_v!K16*384748000/86400/27.321582</f>
        <v>0</v>
      </c>
      <c r="L16" s="1">
        <f>delta_v!L16*384748000/86400/27.321582</f>
        <v>1154.8304238319631</v>
      </c>
      <c r="M16" s="1">
        <f>delta_v!M16*384748000/86400/27.321582</f>
        <v>226.73472932795653</v>
      </c>
      <c r="N16" s="1">
        <f>delta_v!N16*384748000/86400/27.321582</f>
        <v>416.72784718749324</v>
      </c>
      <c r="O16" s="1">
        <f>delta_v!O16*384748000/86400/27.321582</f>
        <v>0</v>
      </c>
      <c r="P16" s="1">
        <f>delta_v!P16*384748000/86400/27.321582</f>
        <v>0</v>
      </c>
      <c r="Q16" s="1">
        <f>delta_v!Q16*384748000/86400/27.321582</f>
        <v>0</v>
      </c>
      <c r="R16" s="1">
        <f>delta_v!R16*384748000/86400/27.321582</f>
        <v>0</v>
      </c>
      <c r="S16" s="1">
        <f>delta_v!S16*384748000/86400/27.321582</f>
        <v>0</v>
      </c>
      <c r="T16" s="1">
        <f>delta_v!T16*384748000/86400/27.321582</f>
        <v>0</v>
      </c>
      <c r="U16" s="1">
        <f>delta_v!U16*384748000/86400/27.321582</f>
        <v>0</v>
      </c>
      <c r="V16" s="1">
        <f>delta_v!V16*384748000/86400/27.321582</f>
        <v>0</v>
      </c>
      <c r="W16" s="1">
        <f>delta_v!W16*384748000/86400/27.321582</f>
        <v>0</v>
      </c>
    </row>
    <row r="17" spans="1:23" x14ac:dyDescent="0.25">
      <c r="A17" s="1">
        <f>delta_v!A17*384748000/86400/27.321582</f>
        <v>0</v>
      </c>
      <c r="B17" s="1">
        <f>delta_v!B17*384748000/86400/27.321582</f>
        <v>0</v>
      </c>
      <c r="C17" s="1">
        <f>delta_v!C17*384748000/86400/27.321582</f>
        <v>0</v>
      </c>
      <c r="D17" s="1">
        <f>delta_v!D17*384748000/86400/27.321582</f>
        <v>0</v>
      </c>
      <c r="E17" s="1">
        <f>delta_v!E17*384748000/86400/27.321582</f>
        <v>0</v>
      </c>
      <c r="F17" s="1">
        <f>delta_v!F17*384748000/86400/27.321582</f>
        <v>0</v>
      </c>
      <c r="G17" s="1">
        <f>delta_v!G17*384748000/86400/27.321582</f>
        <v>0</v>
      </c>
      <c r="H17" s="1">
        <f>delta_v!H17*384748000/86400/27.321582</f>
        <v>0</v>
      </c>
      <c r="I17" s="1">
        <f>delta_v!I17*384748000/86400/27.321582</f>
        <v>0</v>
      </c>
      <c r="J17" s="1">
        <f>delta_v!J17*384748000/86400/27.321582</f>
        <v>0</v>
      </c>
      <c r="K17" s="1">
        <f>delta_v!K17*384748000/86400/27.321582</f>
        <v>0</v>
      </c>
      <c r="L17" s="1">
        <f>delta_v!L17*384748000/86400/27.321582</f>
        <v>0</v>
      </c>
      <c r="M17" s="1">
        <f>delta_v!M17*384748000/86400/27.321582</f>
        <v>210.51737768448075</v>
      </c>
      <c r="N17" s="1">
        <f>delta_v!N17*384748000/86400/27.321582</f>
        <v>984.23083786041298</v>
      </c>
      <c r="O17" s="1">
        <f>delta_v!O17*384748000/86400/27.321582</f>
        <v>388.42695085139974</v>
      </c>
      <c r="P17" s="1">
        <f>delta_v!P17*384748000/86400/27.321582</f>
        <v>0</v>
      </c>
      <c r="Q17" s="1">
        <f>delta_v!Q17*384748000/86400/27.321582</f>
        <v>0</v>
      </c>
      <c r="R17" s="1">
        <f>delta_v!R17*384748000/86400/27.321582</f>
        <v>0</v>
      </c>
      <c r="S17" s="1">
        <f>delta_v!S17*384748000/86400/27.321582</f>
        <v>0</v>
      </c>
      <c r="T17" s="1">
        <f>delta_v!T17*384748000/86400/27.321582</f>
        <v>0</v>
      </c>
      <c r="U17" s="1">
        <f>delta_v!U17*384748000/86400/27.321582</f>
        <v>0</v>
      </c>
      <c r="V17" s="1">
        <f>delta_v!V17*384748000/86400/27.321582</f>
        <v>0</v>
      </c>
      <c r="W17" s="1">
        <f>delta_v!W17*384748000/86400/27.321582</f>
        <v>0</v>
      </c>
    </row>
    <row r="18" spans="1:23" x14ac:dyDescent="0.25">
      <c r="A18" s="1">
        <f>delta_v!A18*384748000/86400/27.321582</f>
        <v>0</v>
      </c>
      <c r="B18" s="1">
        <f>delta_v!B18*384748000/86400/27.321582</f>
        <v>0</v>
      </c>
      <c r="C18" s="1">
        <f>delta_v!C18*384748000/86400/27.321582</f>
        <v>0</v>
      </c>
      <c r="D18" s="1">
        <f>delta_v!D18*384748000/86400/27.321582</f>
        <v>0</v>
      </c>
      <c r="E18" s="1">
        <f>delta_v!E18*384748000/86400/27.321582</f>
        <v>0</v>
      </c>
      <c r="F18" s="1">
        <f>delta_v!F18*384748000/86400/27.321582</f>
        <v>0</v>
      </c>
      <c r="G18" s="1">
        <f>delta_v!G18*384748000/86400/27.321582</f>
        <v>0</v>
      </c>
      <c r="H18" s="1">
        <f>delta_v!H18*384748000/86400/27.321582</f>
        <v>0</v>
      </c>
      <c r="I18" s="1">
        <f>delta_v!I18*384748000/86400/27.321582</f>
        <v>0</v>
      </c>
      <c r="J18" s="1">
        <f>delta_v!J18*384748000/86400/27.321582</f>
        <v>0</v>
      </c>
      <c r="K18" s="1">
        <f>delta_v!K18*384748000/86400/27.321582</f>
        <v>0</v>
      </c>
      <c r="L18" s="1">
        <f>delta_v!L18*384748000/86400/27.321582</f>
        <v>0</v>
      </c>
      <c r="M18" s="1">
        <f>delta_v!M18*384748000/86400/27.321582</f>
        <v>0</v>
      </c>
      <c r="N18" s="1">
        <f>delta_v!N18*384748000/86400/27.321582</f>
        <v>259.1493582306818</v>
      </c>
      <c r="O18" s="1">
        <f>delta_v!O18*384748000/86400/27.321582</f>
        <v>222.28294501586362</v>
      </c>
      <c r="P18" s="1">
        <f>delta_v!P18*384748000/86400/27.321582</f>
        <v>418.79043085098948</v>
      </c>
      <c r="Q18" s="1">
        <f>delta_v!Q18*384748000/86400/27.321582</f>
        <v>0</v>
      </c>
      <c r="R18" s="1">
        <f>delta_v!R18*384748000/86400/27.321582</f>
        <v>0</v>
      </c>
      <c r="S18" s="1">
        <f>delta_v!S18*384748000/86400/27.321582</f>
        <v>0</v>
      </c>
      <c r="T18" s="1">
        <f>delta_v!T18*384748000/86400/27.321582</f>
        <v>0</v>
      </c>
      <c r="U18" s="1">
        <f>delta_v!U18*384748000/86400/27.321582</f>
        <v>0</v>
      </c>
      <c r="V18" s="1">
        <f>delta_v!V18*384748000/86400/27.321582</f>
        <v>0</v>
      </c>
      <c r="W18" s="1">
        <f>delta_v!W18*384748000/86400/27.321582</f>
        <v>0</v>
      </c>
    </row>
    <row r="19" spans="1:23" x14ac:dyDescent="0.25">
      <c r="A19" s="1">
        <f>delta_v!A19*384748000/86400/27.321582</f>
        <v>0</v>
      </c>
      <c r="B19" s="1">
        <f>delta_v!B19*384748000/86400/27.321582</f>
        <v>0</v>
      </c>
      <c r="C19" s="1">
        <f>delta_v!C19*384748000/86400/27.321582</f>
        <v>0</v>
      </c>
      <c r="D19" s="1">
        <f>delta_v!D19*384748000/86400/27.321582</f>
        <v>0</v>
      </c>
      <c r="E19" s="1">
        <f>delta_v!E19*384748000/86400/27.321582</f>
        <v>0</v>
      </c>
      <c r="F19" s="1">
        <f>delta_v!F19*384748000/86400/27.321582</f>
        <v>0</v>
      </c>
      <c r="G19" s="1">
        <f>delta_v!G19*384748000/86400/27.321582</f>
        <v>0</v>
      </c>
      <c r="H19" s="1">
        <f>delta_v!H19*384748000/86400/27.321582</f>
        <v>0</v>
      </c>
      <c r="I19" s="1">
        <f>delta_v!I19*384748000/86400/27.321582</f>
        <v>0</v>
      </c>
      <c r="J19" s="1">
        <f>delta_v!J19*384748000/86400/27.321582</f>
        <v>0</v>
      </c>
      <c r="K19" s="1">
        <f>delta_v!K19*384748000/86400/27.321582</f>
        <v>0</v>
      </c>
      <c r="L19" s="1">
        <f>delta_v!L19*384748000/86400/27.321582</f>
        <v>0</v>
      </c>
      <c r="M19" s="1">
        <f>delta_v!M19*384748000/86400/27.321582</f>
        <v>0</v>
      </c>
      <c r="N19" s="1">
        <f>delta_v!N19*384748000/86400/27.321582</f>
        <v>0</v>
      </c>
      <c r="O19" s="1">
        <f>delta_v!O19*384748000/86400/27.321582</f>
        <v>463.92527910233753</v>
      </c>
      <c r="P19" s="1">
        <f>delta_v!P19*384748000/86400/27.321582</f>
        <v>2365.9176084619726</v>
      </c>
      <c r="Q19" s="1">
        <f>delta_v!Q19*384748000/86400/27.321582</f>
        <v>447.23239308566929</v>
      </c>
      <c r="R19" s="1">
        <f>delta_v!R19*384748000/86400/27.321582</f>
        <v>0</v>
      </c>
      <c r="S19" s="1">
        <f>delta_v!S19*384748000/86400/27.321582</f>
        <v>0</v>
      </c>
      <c r="T19" s="1">
        <f>delta_v!T19*384748000/86400/27.321582</f>
        <v>0</v>
      </c>
      <c r="U19" s="1">
        <f>delta_v!U19*384748000/86400/27.321582</f>
        <v>0</v>
      </c>
      <c r="V19" s="1">
        <f>delta_v!V19*384748000/86400/27.321582</f>
        <v>0</v>
      </c>
      <c r="W19" s="1">
        <f>delta_v!W19*384748000/86400/27.321582</f>
        <v>0</v>
      </c>
    </row>
    <row r="20" spans="1:23" x14ac:dyDescent="0.25">
      <c r="A20" s="1">
        <f>delta_v!A20*384748000/86400/27.321582</f>
        <v>0</v>
      </c>
      <c r="B20" s="1">
        <f>delta_v!B20*384748000/86400/27.321582</f>
        <v>0</v>
      </c>
      <c r="C20" s="1">
        <f>delta_v!C20*384748000/86400/27.321582</f>
        <v>0</v>
      </c>
      <c r="D20" s="1">
        <f>delta_v!D20*384748000/86400/27.321582</f>
        <v>0</v>
      </c>
      <c r="E20" s="1">
        <f>delta_v!E20*384748000/86400/27.321582</f>
        <v>0</v>
      </c>
      <c r="F20" s="1">
        <f>delta_v!F20*384748000/86400/27.321582</f>
        <v>0</v>
      </c>
      <c r="G20" s="1">
        <f>delta_v!G20*384748000/86400/27.321582</f>
        <v>0</v>
      </c>
      <c r="H20" s="1">
        <f>delta_v!H20*384748000/86400/27.321582</f>
        <v>0</v>
      </c>
      <c r="I20" s="1">
        <f>delta_v!I20*384748000/86400/27.321582</f>
        <v>0</v>
      </c>
      <c r="J20" s="1">
        <f>delta_v!J20*384748000/86400/27.321582</f>
        <v>0</v>
      </c>
      <c r="K20" s="1">
        <f>delta_v!K20*384748000/86400/27.321582</f>
        <v>0</v>
      </c>
      <c r="L20" s="1">
        <f>delta_v!L20*384748000/86400/27.321582</f>
        <v>0</v>
      </c>
      <c r="M20" s="1">
        <f>delta_v!M20*384748000/86400/27.321582</f>
        <v>0</v>
      </c>
      <c r="N20" s="1">
        <f>delta_v!N20*384748000/86400/27.321582</f>
        <v>0</v>
      </c>
      <c r="O20" s="1">
        <f>delta_v!O20*384748000/86400/27.321582</f>
        <v>0</v>
      </c>
      <c r="P20" s="1">
        <f>delta_v!P20*384748000/86400/27.321582</f>
        <v>1180.9737882474619</v>
      </c>
      <c r="Q20" s="1">
        <f>delta_v!Q20*384748000/86400/27.321582</f>
        <v>207.81072379091381</v>
      </c>
      <c r="R20" s="1">
        <f>delta_v!R20*384748000/86400/27.321582</f>
        <v>409.67434939822687</v>
      </c>
      <c r="S20" s="1">
        <f>delta_v!S20*384748000/86400/27.321582</f>
        <v>0</v>
      </c>
      <c r="T20" s="1">
        <f>delta_v!T20*384748000/86400/27.321582</f>
        <v>0</v>
      </c>
      <c r="U20" s="1">
        <f>delta_v!U20*384748000/86400/27.321582</f>
        <v>0</v>
      </c>
      <c r="V20" s="1">
        <f>delta_v!V20*384748000/86400/27.321582</f>
        <v>0</v>
      </c>
      <c r="W20" s="1">
        <f>delta_v!W20*384748000/86400/27.321582</f>
        <v>0</v>
      </c>
    </row>
    <row r="21" spans="1:23" x14ac:dyDescent="0.25">
      <c r="A21" s="1">
        <f>delta_v!A21*384748000/86400/27.321582</f>
        <v>0</v>
      </c>
      <c r="B21" s="1">
        <f>delta_v!B21*384748000/86400/27.321582</f>
        <v>0</v>
      </c>
      <c r="C21" s="1">
        <f>delta_v!C21*384748000/86400/27.321582</f>
        <v>0</v>
      </c>
      <c r="D21" s="1">
        <f>delta_v!D21*384748000/86400/27.321582</f>
        <v>0</v>
      </c>
      <c r="E21" s="1">
        <f>delta_v!E21*384748000/86400/27.321582</f>
        <v>0</v>
      </c>
      <c r="F21" s="1">
        <f>delta_v!F21*384748000/86400/27.321582</f>
        <v>0</v>
      </c>
      <c r="G21" s="1">
        <f>delta_v!G21*384748000/86400/27.321582</f>
        <v>0</v>
      </c>
      <c r="H21" s="1">
        <f>delta_v!H21*384748000/86400/27.321582</f>
        <v>0</v>
      </c>
      <c r="I21" s="1">
        <f>delta_v!I21*384748000/86400/27.321582</f>
        <v>0</v>
      </c>
      <c r="J21" s="1">
        <f>delta_v!J21*384748000/86400/27.321582</f>
        <v>0</v>
      </c>
      <c r="K21" s="1">
        <f>delta_v!K21*384748000/86400/27.321582</f>
        <v>0</v>
      </c>
      <c r="L21" s="1">
        <f>delta_v!L21*384748000/86400/27.321582</f>
        <v>0</v>
      </c>
      <c r="M21" s="1">
        <f>delta_v!M21*384748000/86400/27.321582</f>
        <v>0</v>
      </c>
      <c r="N21" s="1">
        <f>delta_v!N21*384748000/86400/27.321582</f>
        <v>0</v>
      </c>
      <c r="O21" s="1">
        <f>delta_v!O21*384748000/86400/27.321582</f>
        <v>0</v>
      </c>
      <c r="P21" s="1">
        <f>delta_v!P21*384748000/86400/27.321582</f>
        <v>0</v>
      </c>
      <c r="Q21" s="1">
        <f>delta_v!Q21*384748000/86400/27.321582</f>
        <v>1166.1162217712267</v>
      </c>
      <c r="R21" s="1">
        <f>delta_v!R21*384748000/86400/27.321582</f>
        <v>944.24555769308495</v>
      </c>
      <c r="S21" s="1">
        <f>delta_v!S21*384748000/86400/27.321582</f>
        <v>377.49633365464337</v>
      </c>
      <c r="T21" s="1">
        <f>delta_v!T21*384748000/86400/27.321582</f>
        <v>0</v>
      </c>
      <c r="U21" s="1">
        <f>delta_v!U21*384748000/86400/27.321582</f>
        <v>0</v>
      </c>
      <c r="V21" s="1">
        <f>delta_v!V21*384748000/86400/27.321582</f>
        <v>0</v>
      </c>
      <c r="W21" s="1">
        <f>delta_v!W21*384748000/86400/27.321582</f>
        <v>0</v>
      </c>
    </row>
    <row r="22" spans="1:23" x14ac:dyDescent="0.25">
      <c r="A22" s="1">
        <f>delta_v!A22*384748000/86400/27.321582</f>
        <v>0</v>
      </c>
      <c r="B22" s="1">
        <f>delta_v!B22*384748000/86400/27.321582</f>
        <v>0</v>
      </c>
      <c r="C22" s="1">
        <f>delta_v!C22*384748000/86400/27.321582</f>
        <v>0</v>
      </c>
      <c r="D22" s="1">
        <f>delta_v!D22*384748000/86400/27.321582</f>
        <v>0</v>
      </c>
      <c r="E22" s="1">
        <f>delta_v!E22*384748000/86400/27.321582</f>
        <v>0</v>
      </c>
      <c r="F22" s="1">
        <f>delta_v!F22*384748000/86400/27.321582</f>
        <v>0</v>
      </c>
      <c r="G22" s="1">
        <f>delta_v!G22*384748000/86400/27.321582</f>
        <v>0</v>
      </c>
      <c r="H22" s="1">
        <f>delta_v!H22*384748000/86400/27.321582</f>
        <v>0</v>
      </c>
      <c r="I22" s="1">
        <f>delta_v!I22*384748000/86400/27.321582</f>
        <v>0</v>
      </c>
      <c r="J22" s="1">
        <f>delta_v!J22*384748000/86400/27.321582</f>
        <v>0</v>
      </c>
      <c r="K22" s="1">
        <f>delta_v!K22*384748000/86400/27.321582</f>
        <v>0</v>
      </c>
      <c r="L22" s="1">
        <f>delta_v!L22*384748000/86400/27.321582</f>
        <v>0</v>
      </c>
      <c r="M22" s="1">
        <f>delta_v!M22*384748000/86400/27.321582</f>
        <v>0</v>
      </c>
      <c r="N22" s="1">
        <f>delta_v!N22*384748000/86400/27.321582</f>
        <v>0</v>
      </c>
      <c r="O22" s="1">
        <f>delta_v!O22*384748000/86400/27.321582</f>
        <v>0</v>
      </c>
      <c r="P22" s="1">
        <f>delta_v!P22*384748000/86400/27.321582</f>
        <v>0</v>
      </c>
      <c r="Q22" s="1">
        <f>delta_v!Q22*384748000/86400/27.321582</f>
        <v>0</v>
      </c>
      <c r="R22" s="1">
        <f>delta_v!R22*384748000/86400/27.321582</f>
        <v>1196.36502991467</v>
      </c>
      <c r="S22" s="1">
        <f>delta_v!S22*384748000/86400/27.321582</f>
        <v>183.48310055237221</v>
      </c>
      <c r="T22" s="1">
        <f>delta_v!T22*384748000/86400/27.321582</f>
        <v>395.02413729670354</v>
      </c>
      <c r="U22" s="1">
        <f>delta_v!U22*384748000/86400/27.321582</f>
        <v>0</v>
      </c>
      <c r="V22" s="1">
        <f>delta_v!V22*384748000/86400/27.321582</f>
        <v>0</v>
      </c>
      <c r="W22" s="1">
        <f>delta_v!W22*384748000/86400/27.321582</f>
        <v>0</v>
      </c>
    </row>
    <row r="23" spans="1:23" x14ac:dyDescent="0.25">
      <c r="A23" s="1">
        <f>delta_v!A23*384748000/86400/27.321582</f>
        <v>0</v>
      </c>
      <c r="B23" s="1">
        <f>delta_v!B23*384748000/86400/27.321582</f>
        <v>0</v>
      </c>
      <c r="C23" s="1">
        <f>delta_v!C23*384748000/86400/27.321582</f>
        <v>0</v>
      </c>
      <c r="D23" s="1">
        <f>delta_v!D23*384748000/86400/27.321582</f>
        <v>0</v>
      </c>
      <c r="E23" s="1">
        <f>delta_v!E23*384748000/86400/27.321582</f>
        <v>0</v>
      </c>
      <c r="F23" s="1">
        <f>delta_v!F23*384748000/86400/27.321582</f>
        <v>0</v>
      </c>
      <c r="G23" s="1">
        <f>delta_v!G23*384748000/86400/27.321582</f>
        <v>0</v>
      </c>
      <c r="H23" s="1">
        <f>delta_v!H23*384748000/86400/27.321582</f>
        <v>0</v>
      </c>
      <c r="I23" s="1">
        <f>delta_v!I23*384748000/86400/27.321582</f>
        <v>0</v>
      </c>
      <c r="J23" s="1">
        <f>delta_v!J23*384748000/86400/27.321582</f>
        <v>0</v>
      </c>
      <c r="K23" s="1">
        <f>delta_v!K23*384748000/86400/27.321582</f>
        <v>0</v>
      </c>
      <c r="L23" s="1">
        <f>delta_v!L23*384748000/86400/27.321582</f>
        <v>0</v>
      </c>
      <c r="M23" s="1">
        <f>delta_v!M23*384748000/86400/27.321582</f>
        <v>0</v>
      </c>
      <c r="N23" s="1">
        <f>delta_v!N23*384748000/86400/27.321582</f>
        <v>0</v>
      </c>
      <c r="O23" s="1">
        <f>delta_v!O23*384748000/86400/27.321582</f>
        <v>0</v>
      </c>
      <c r="P23" s="1">
        <f>delta_v!P23*384748000/86400/27.321582</f>
        <v>0</v>
      </c>
      <c r="Q23" s="1">
        <f>delta_v!Q23*384748000/86400/27.321582</f>
        <v>0</v>
      </c>
      <c r="R23" s="1">
        <f>delta_v!R23*384748000/86400/27.321582</f>
        <v>0</v>
      </c>
      <c r="S23" s="1">
        <f>delta_v!S23*384748000/86400/27.321582</f>
        <v>542.93243984319986</v>
      </c>
      <c r="T23" s="1">
        <f>delta_v!T23*384748000/86400/27.321582</f>
        <v>936.91675612028291</v>
      </c>
      <c r="U23" s="1">
        <f>delta_v!U23*384748000/86400/27.321582</f>
        <v>371.83656153868537</v>
      </c>
      <c r="V23" s="1">
        <f>delta_v!V23*384748000/86400/27.321582</f>
        <v>0</v>
      </c>
      <c r="W23" s="1">
        <f>delta_v!W23*384748000/86400/27.321582</f>
        <v>0</v>
      </c>
    </row>
    <row r="24" spans="1:23" x14ac:dyDescent="0.25">
      <c r="A24" s="1">
        <f>delta_v!A24*384748000/86400/27.321582</f>
        <v>0</v>
      </c>
      <c r="B24" s="1">
        <f>delta_v!B24*384748000/86400/27.321582</f>
        <v>0</v>
      </c>
      <c r="C24" s="1">
        <f>delta_v!C24*384748000/86400/27.321582</f>
        <v>0</v>
      </c>
      <c r="D24" s="1">
        <f>delta_v!D24*384748000/86400/27.321582</f>
        <v>0</v>
      </c>
      <c r="E24" s="1">
        <f>delta_v!E24*384748000/86400/27.321582</f>
        <v>0</v>
      </c>
      <c r="F24" s="1">
        <f>delta_v!F24*384748000/86400/27.321582</f>
        <v>0</v>
      </c>
      <c r="G24" s="1">
        <f>delta_v!G24*384748000/86400/27.321582</f>
        <v>0</v>
      </c>
      <c r="H24" s="1">
        <f>delta_v!H24*384748000/86400/27.321582</f>
        <v>0</v>
      </c>
      <c r="I24" s="1">
        <f>delta_v!I24*384748000/86400/27.321582</f>
        <v>0</v>
      </c>
      <c r="J24" s="1">
        <f>delta_v!J24*384748000/86400/27.321582</f>
        <v>0</v>
      </c>
      <c r="K24" s="1">
        <f>delta_v!K24*384748000/86400/27.321582</f>
        <v>0</v>
      </c>
      <c r="L24" s="1">
        <f>delta_v!L24*384748000/86400/27.321582</f>
        <v>0</v>
      </c>
      <c r="M24" s="1">
        <f>delta_v!M24*384748000/86400/27.321582</f>
        <v>0</v>
      </c>
      <c r="N24" s="1">
        <f>delta_v!N24*384748000/86400/27.321582</f>
        <v>0</v>
      </c>
      <c r="O24" s="1">
        <f>delta_v!O24*384748000/86400/27.321582</f>
        <v>0</v>
      </c>
      <c r="P24" s="1">
        <f>delta_v!P24*384748000/86400/27.321582</f>
        <v>0</v>
      </c>
      <c r="Q24" s="1">
        <f>delta_v!Q24*384748000/86400/27.321582</f>
        <v>0</v>
      </c>
      <c r="R24" s="1">
        <f>delta_v!R24*384748000/86400/27.321582</f>
        <v>0</v>
      </c>
      <c r="S24" s="1">
        <f>delta_v!S24*384748000/86400/27.321582</f>
        <v>0</v>
      </c>
      <c r="T24" s="1">
        <f>delta_v!T24*384748000/86400/27.321582</f>
        <v>1208.2054770541358</v>
      </c>
      <c r="U24" s="1">
        <f>delta_v!U24*384748000/86400/27.321582</f>
        <v>148.26007952626065</v>
      </c>
      <c r="V24" s="1">
        <f>delta_v!V24*384748000/86400/27.321582</f>
        <v>380.62811934911832</v>
      </c>
      <c r="W24" s="1">
        <f>delta_v!W24*384748000/86400/27.321582</f>
        <v>0</v>
      </c>
    </row>
    <row r="27" spans="1:23" x14ac:dyDescent="0.25">
      <c r="B27" t="s">
        <v>0</v>
      </c>
      <c r="C27" t="s">
        <v>1</v>
      </c>
      <c r="D27" s="2" t="s">
        <v>2</v>
      </c>
      <c r="E27" t="s">
        <v>3</v>
      </c>
    </row>
    <row r="28" spans="1:23" x14ac:dyDescent="0.25">
      <c r="B28" s="1">
        <f>A3+C5+E7+G9+I11+K13+M15+O17+Q19+S21+U23</f>
        <v>4399.3284739948886</v>
      </c>
      <c r="C28" s="1">
        <f>B4+D6+F8+H10+J12+L14+N16+P18+R20+T22+V24</f>
        <v>4333.7553116893532</v>
      </c>
      <c r="D28" s="1">
        <f>A4+D7+G10+J13+M16+P19+S22</f>
        <v>5439.0139630182985</v>
      </c>
      <c r="E28" s="1">
        <f>B5+E8+H11+K14+N17+Q20+T23</f>
        <v>4468.3327009779432</v>
      </c>
      <c r="G28">
        <f>delta_v!A3</f>
        <v>2.3143202177279698</v>
      </c>
    </row>
    <row r="29" spans="1:23" x14ac:dyDescent="0.25">
      <c r="A29" t="s">
        <v>4</v>
      </c>
      <c r="B29">
        <v>12</v>
      </c>
      <c r="C29">
        <v>12</v>
      </c>
      <c r="D29">
        <v>8</v>
      </c>
      <c r="E29">
        <v>8</v>
      </c>
    </row>
    <row r="30" spans="1:23" x14ac:dyDescent="0.25">
      <c r="A30" t="s">
        <v>5</v>
      </c>
      <c r="B30">
        <f>B28/B29</f>
        <v>366.61070616624073</v>
      </c>
      <c r="C30">
        <f t="shared" ref="C30:D30" si="0">C28/C29</f>
        <v>361.14627597411277</v>
      </c>
      <c r="D30">
        <f t="shared" si="0"/>
        <v>679.87674537728731</v>
      </c>
      <c r="E30">
        <f>E28/E29</f>
        <v>558.5415876222429</v>
      </c>
    </row>
    <row r="31" spans="1:23" x14ac:dyDescent="0.25">
      <c r="B31">
        <f>B30+C30</f>
        <v>727.75698214035356</v>
      </c>
      <c r="D31">
        <f>D30+E30</f>
        <v>1238.4183329995303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delta_v</vt:lpstr>
      <vt:lpstr>Feuil1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physi</dc:creator>
  <cp:lastModifiedBy>physicgamer@outlook.fr</cp:lastModifiedBy>
  <dcterms:created xsi:type="dcterms:W3CDTF">2024-07-25T13:59:43Z</dcterms:created>
  <dcterms:modified xsi:type="dcterms:W3CDTF">2024-07-26T08:38:55Z</dcterms:modified>
</cp:coreProperties>
</file>